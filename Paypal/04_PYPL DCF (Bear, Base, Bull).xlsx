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gaco4625_colorado_edu/Documents/"/>
    </mc:Choice>
  </mc:AlternateContent>
  <xr:revisionPtr revIDLastSave="0" documentId="8_{8DF6D413-C986-4528-B769-B0C99997FDF9}" xr6:coauthVersionLast="47" xr6:coauthVersionMax="47" xr10:uidLastSave="{00000000-0000-0000-0000-000000000000}"/>
  <bookViews>
    <workbookView xWindow="11110" yWindow="0" windowWidth="11380" windowHeight="13370" xr2:uid="{00000000-000D-0000-FFFF-FFFF00000000}"/>
  </bookViews>
  <sheets>
    <sheet name="DCF 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9" i="1" l="1"/>
  <c r="O19" i="1"/>
  <c r="N19" i="1"/>
  <c r="L18" i="1"/>
  <c r="F37" i="1"/>
  <c r="B18" i="1"/>
  <c r="C18" i="1"/>
  <c r="D18" i="1"/>
  <c r="E18" i="1"/>
  <c r="F18" i="1"/>
  <c r="B19" i="1"/>
  <c r="C19" i="1"/>
  <c r="D19" i="1"/>
  <c r="E19" i="1"/>
  <c r="F19" i="1"/>
  <c r="M19" i="1" s="1"/>
  <c r="B20" i="1"/>
  <c r="B25" i="1" s="1"/>
  <c r="C20" i="1"/>
  <c r="C25" i="1" s="1"/>
  <c r="B21" i="1"/>
  <c r="B22" i="1" s="1"/>
  <c r="I22" i="1"/>
  <c r="B27" i="1"/>
  <c r="C27" i="1"/>
  <c r="D27" i="1"/>
  <c r="E27" i="1"/>
  <c r="F27" i="1"/>
  <c r="L46" i="1"/>
  <c r="M46" i="1"/>
  <c r="N46" i="1"/>
  <c r="O46" i="1"/>
  <c r="P46" i="1"/>
  <c r="Q46" i="1"/>
  <c r="M18" i="1"/>
  <c r="F62" i="1"/>
  <c r="E62" i="1"/>
  <c r="D62" i="1"/>
  <c r="C62" i="1"/>
  <c r="B62" i="1"/>
  <c r="F54" i="1"/>
  <c r="M20" i="1" s="1"/>
  <c r="E54" i="1"/>
  <c r="D54" i="1"/>
  <c r="C54" i="1"/>
  <c r="B54" i="1"/>
  <c r="F53" i="1"/>
  <c r="E53" i="1"/>
  <c r="D53" i="1"/>
  <c r="C53" i="1"/>
  <c r="B53" i="1"/>
  <c r="B55" i="1" s="1"/>
  <c r="F45" i="1"/>
  <c r="E45" i="1"/>
  <c r="D45" i="1"/>
  <c r="C45" i="1"/>
  <c r="B45" i="1"/>
  <c r="E37" i="1"/>
  <c r="D37" i="1"/>
  <c r="C37" i="1"/>
  <c r="B37" i="1"/>
  <c r="F36" i="1"/>
  <c r="E36" i="1"/>
  <c r="D36" i="1"/>
  <c r="C36" i="1"/>
  <c r="B36" i="1"/>
  <c r="B38" i="1" s="1"/>
  <c r="Q20" i="1"/>
  <c r="O20" i="1"/>
  <c r="N20" i="1"/>
  <c r="Q18" i="1"/>
  <c r="O18" i="1"/>
  <c r="N18" i="1"/>
  <c r="D20" i="1" l="1"/>
  <c r="D21" i="1" s="1"/>
  <c r="D22" i="1" s="1"/>
  <c r="E20" i="1"/>
  <c r="E24" i="1" s="1"/>
  <c r="D24" i="1"/>
  <c r="C24" i="1"/>
  <c r="B24" i="1"/>
  <c r="C21" i="1"/>
  <c r="C22" i="1" s="1"/>
  <c r="E23" i="1"/>
  <c r="D23" i="1"/>
  <c r="B23" i="1"/>
  <c r="B26" i="1" s="1"/>
  <c r="E25" i="1"/>
  <c r="C23" i="1"/>
  <c r="D25" i="1"/>
  <c r="B60" i="1"/>
  <c r="B59" i="1"/>
  <c r="B56" i="1"/>
  <c r="B57" i="1" s="1"/>
  <c r="C55" i="1"/>
  <c r="D55" i="1" s="1"/>
  <c r="E55" i="1" s="1"/>
  <c r="B58" i="1"/>
  <c r="B42" i="1"/>
  <c r="B41" i="1"/>
  <c r="B39" i="1"/>
  <c r="B40" i="1" s="1"/>
  <c r="C38" i="1"/>
  <c r="B43" i="1"/>
  <c r="C26" i="1" l="1"/>
  <c r="C28" i="1" s="1"/>
  <c r="E21" i="1"/>
  <c r="E22" i="1" s="1"/>
  <c r="E26" i="1" s="1"/>
  <c r="E28" i="1" s="1"/>
  <c r="F20" i="1"/>
  <c r="L19" i="1" s="1"/>
  <c r="D60" i="1"/>
  <c r="B61" i="1"/>
  <c r="B63" i="1" s="1"/>
  <c r="D56" i="1"/>
  <c r="D57" i="1" s="1"/>
  <c r="D26" i="1"/>
  <c r="D28" i="1" s="1"/>
  <c r="D59" i="1"/>
  <c r="C59" i="1"/>
  <c r="C58" i="1"/>
  <c r="D58" i="1"/>
  <c r="B28" i="1"/>
  <c r="B29" i="1"/>
  <c r="C60" i="1"/>
  <c r="C56" i="1"/>
  <c r="C57" i="1" s="1"/>
  <c r="B44" i="1"/>
  <c r="C42" i="1"/>
  <c r="C41" i="1"/>
  <c r="D38" i="1"/>
  <c r="C39" i="1"/>
  <c r="C40" i="1" s="1"/>
  <c r="C43" i="1"/>
  <c r="E59" i="1"/>
  <c r="E60" i="1"/>
  <c r="F55" i="1"/>
  <c r="E58" i="1"/>
  <c r="E56" i="1"/>
  <c r="E57" i="1" s="1"/>
  <c r="D29" i="1" l="1"/>
  <c r="C29" i="1"/>
  <c r="B64" i="1"/>
  <c r="F24" i="1"/>
  <c r="F25" i="1"/>
  <c r="F23" i="1"/>
  <c r="F21" i="1"/>
  <c r="F22" i="1" s="1"/>
  <c r="F26" i="1" s="1"/>
  <c r="E29" i="1"/>
  <c r="D61" i="1"/>
  <c r="D64" i="1" s="1"/>
  <c r="C61" i="1"/>
  <c r="C63" i="1" s="1"/>
  <c r="E61" i="1"/>
  <c r="C44" i="1"/>
  <c r="C47" i="1" s="1"/>
  <c r="E64" i="1"/>
  <c r="E63" i="1"/>
  <c r="B46" i="1"/>
  <c r="B47" i="1"/>
  <c r="C46" i="1"/>
  <c r="D41" i="1"/>
  <c r="E38" i="1"/>
  <c r="D42" i="1"/>
  <c r="D39" i="1"/>
  <c r="D40" i="1" s="1"/>
  <c r="D43" i="1"/>
  <c r="F60" i="1"/>
  <c r="F58" i="1"/>
  <c r="F56" i="1"/>
  <c r="F57" i="1" s="1"/>
  <c r="F59" i="1"/>
  <c r="L20" i="1"/>
  <c r="D63" i="1"/>
  <c r="C64" i="1" l="1"/>
  <c r="F29" i="1"/>
  <c r="I19" i="1"/>
  <c r="I20" i="1" s="1"/>
  <c r="F28" i="1"/>
  <c r="F61" i="1"/>
  <c r="F64" i="1"/>
  <c r="F63" i="1"/>
  <c r="I53" i="1" s="1"/>
  <c r="I54" i="1"/>
  <c r="I55" i="1" s="1"/>
  <c r="D44" i="1"/>
  <c r="E39" i="1"/>
  <c r="E40" i="1" s="1"/>
  <c r="F38" i="1"/>
  <c r="F41" i="1" s="1"/>
  <c r="E41" i="1"/>
  <c r="E42" i="1"/>
  <c r="E43" i="1"/>
  <c r="L28" i="1" l="1"/>
  <c r="L29" i="1"/>
  <c r="I18" i="1"/>
  <c r="I21" i="1" s="1"/>
  <c r="I56" i="1"/>
  <c r="I57" i="1" s="1"/>
  <c r="I58" i="1" s="1"/>
  <c r="P20" i="1" s="1"/>
  <c r="F43" i="1"/>
  <c r="F42" i="1"/>
  <c r="F39" i="1"/>
  <c r="F40" i="1" s="1"/>
  <c r="F44" i="1" s="1"/>
  <c r="E44" i="1"/>
  <c r="D46" i="1"/>
  <c r="D47" i="1"/>
  <c r="I23" i="1" l="1"/>
  <c r="I24" i="1" s="1"/>
  <c r="I26" i="1"/>
  <c r="L36" i="1"/>
  <c r="E46" i="1"/>
  <c r="E47" i="1"/>
  <c r="F47" i="1"/>
  <c r="I37" i="1"/>
  <c r="I38" i="1" s="1"/>
  <c r="F46" i="1"/>
  <c r="I36" i="1" s="1"/>
  <c r="I25" i="1" l="1"/>
  <c r="L37" i="1" s="1"/>
  <c r="P19" i="1"/>
  <c r="L23" i="1" s="1"/>
  <c r="I39" i="1"/>
  <c r="I40" i="1" s="1"/>
  <c r="I41" i="1" s="1"/>
  <c r="P18" i="1" s="1"/>
  <c r="N28" i="1"/>
  <c r="L35" i="1"/>
  <c r="L30" i="1"/>
  <c r="M28" i="1"/>
  <c r="M29" i="1"/>
  <c r="M30" i="1"/>
  <c r="N30" i="1"/>
  <c r="N29" i="1"/>
</calcChain>
</file>

<file path=xl/sharedStrings.xml><?xml version="1.0" encoding="utf-8"?>
<sst xmlns="http://schemas.openxmlformats.org/spreadsheetml/2006/main" count="182" uniqueCount="99">
  <si>
    <t>Core Inputs</t>
  </si>
  <si>
    <t>Scenario Assumptions</t>
  </si>
  <si>
    <t>Metric</t>
  </si>
  <si>
    <t>Value</t>
  </si>
  <si>
    <t>Unit</t>
  </si>
  <si>
    <t>Scenario</t>
  </si>
  <si>
    <t>2026E Rev Growth</t>
  </si>
  <si>
    <t>2027E Rev Growth</t>
  </si>
  <si>
    <t>2028E Rev Growth</t>
  </si>
  <si>
    <t>2029E Rev Growth</t>
  </si>
  <si>
    <t>2030E Rev Growth</t>
  </si>
  <si>
    <t>2026E OM</t>
  </si>
  <si>
    <t>2027E OM</t>
  </si>
  <si>
    <t>2028E OM</t>
  </si>
  <si>
    <t>2029E OM</t>
  </si>
  <si>
    <t>2030E OM</t>
  </si>
  <si>
    <t>Revenue TTM</t>
  </si>
  <si>
    <t>$B</t>
  </si>
  <si>
    <t>Bear</t>
  </si>
  <si>
    <t>Net Cash</t>
  </si>
  <si>
    <t>Base</t>
  </si>
  <si>
    <t>Shares Outstanding</t>
  </si>
  <si>
    <t>Bull</t>
  </si>
  <si>
    <t>Current Share Price</t>
  </si>
  <si>
    <t>$/share</t>
  </si>
  <si>
    <t>Tax Rate</t>
  </si>
  <si>
    <t>%</t>
  </si>
  <si>
    <t>Discount Rate / Terminal Growth</t>
  </si>
  <si>
    <t>D&amp;A % of Revenue</t>
  </si>
  <si>
    <t>WACC</t>
  </si>
  <si>
    <t>Terminal Growth</t>
  </si>
  <si>
    <t>Probability</t>
  </si>
  <si>
    <t>CapEx % of Revenue</t>
  </si>
  <si>
    <t>Change in NWC % of Revenue Growth</t>
  </si>
  <si>
    <t>Base Case DCF Forecast</t>
  </si>
  <si>
    <t>Scenario Valuation Outputs</t>
  </si>
  <si>
    <t>2026E</t>
  </si>
  <si>
    <t>2027E</t>
  </si>
  <si>
    <t>2028E</t>
  </si>
  <si>
    <t>2029E</t>
  </si>
  <si>
    <t>2030E</t>
  </si>
  <si>
    <t>Output</t>
  </si>
  <si>
    <t>2030 Revenue ($B)</t>
  </si>
  <si>
    <t>2030 Margin</t>
  </si>
  <si>
    <t>Implied Price</t>
  </si>
  <si>
    <t>Revenue Growth</t>
  </si>
  <si>
    <t>PV Forecast UFCFs ($B)</t>
  </si>
  <si>
    <t>Operating Margin</t>
  </si>
  <si>
    <t>Terminal Value ($B)</t>
  </si>
  <si>
    <t>Revenue ($B)</t>
  </si>
  <si>
    <t>PV Terminal Value ($B)</t>
  </si>
  <si>
    <t>EBIT ($B)</t>
  </si>
  <si>
    <t>Enterprise Value ($B)</t>
  </si>
  <si>
    <t>NOPAT ($B)</t>
  </si>
  <si>
    <t>Net Cash ($B)</t>
  </si>
  <si>
    <t>Probability-Weighted Value</t>
  </si>
  <si>
    <t>D&amp;A ($B)</t>
  </si>
  <si>
    <t>Equity Value ($B)</t>
  </si>
  <si>
    <t>Expected Implied Share Price</t>
  </si>
  <si>
    <t>CapEx ($B)</t>
  </si>
  <si>
    <t>Implied Share Price ($)</t>
  </si>
  <si>
    <t>Change in NWC ($B)</t>
  </si>
  <si>
    <t>Upside / (Downside)</t>
  </si>
  <si>
    <t>Unlevered Free Cash Flow ($B)</t>
  </si>
  <si>
    <t>Terminal Value % of EV</t>
  </si>
  <si>
    <t>DCF Sensitivity: Implied Share Price</t>
  </si>
  <si>
    <t>Discount Factor</t>
  </si>
  <si>
    <t>TG / WACC</t>
  </si>
  <si>
    <t>PV of UFCF ($B)</t>
  </si>
  <si>
    <t>FCF Margin</t>
  </si>
  <si>
    <t>Revenue Assumption</t>
  </si>
  <si>
    <t>The base case assumes revenue growth gradually moderates from 6.0% in 2026 to 4.5% in 2030. This reflects PayPal's mature scale while still incorporating growth from Venmo monetization, Buy Now, Pay Later adoption, Branded Checkout stabilization, and continued payment activity.</t>
  </si>
  <si>
    <t>Model Checks</t>
  </si>
  <si>
    <t>Check</t>
  </si>
  <si>
    <t>Margin Assumption</t>
  </si>
  <si>
    <t>2030 FCF Margin</t>
  </si>
  <si>
    <t>The model now uses explicit operating margin assumptions for each year from 2026E to 2030E. In the base case, margins expand from 18.0% to 20.0%, reflecting moderate efficiency gains and stronger monetization while remaining below best-in-class peer profitability levels.</t>
  </si>
  <si>
    <t>Valuation Interpretation</t>
  </si>
  <si>
    <t>Peer Comparison</t>
  </si>
  <si>
    <t>The DCF should be viewed as a valuation range rather than a precise target price. The base case indicates meaningful upside, but terminal value represents a large portion of enterprise value, making the result sensitive to WACC and terminal growth assumptions.</t>
  </si>
  <si>
    <t>Company</t>
  </si>
  <si>
    <t>EV/Sales</t>
  </si>
  <si>
    <t>EV/EBITDA</t>
  </si>
  <si>
    <t>P/E</t>
  </si>
  <si>
    <t>PayPal</t>
  </si>
  <si>
    <t>Block</t>
  </si>
  <si>
    <t>Dynamic Scenario DCF Calculations</t>
  </si>
  <si>
    <t>Adyen</t>
  </si>
  <si>
    <t>Bear Case DCF</t>
  </si>
  <si>
    <t>Fiserv</t>
  </si>
  <si>
    <t>Peer Average</t>
  </si>
  <si>
    <t>UFCF ($B)</t>
  </si>
  <si>
    <t>PV UFCF ($B)</t>
  </si>
  <si>
    <t>Bull Case DCF</t>
  </si>
  <si>
    <t>PayPal (PYPL) - DCF Model</t>
  </si>
  <si>
    <t>2024A</t>
  </si>
  <si>
    <t>2025A</t>
  </si>
  <si>
    <t>Historical to Forecast Trends</t>
  </si>
  <si>
    <t>$M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</si>
</sst>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;[Red]\(\$#,##0.0\);\-"/>
    <numFmt numFmtId="165" formatCode="\$0.00"/>
    <numFmt numFmtId="166" formatCode="0.0%"/>
    <numFmt numFmtId="167" formatCode="0.0\x"/>
  </numFmts>
  <fonts count="9">
    <font>
      <sz val="11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1"/>
      <color rgb="FF000000"/>
      <name val="Carlito"/>
    </font>
    <font>
      <b/>
      <sz val="10"/>
      <color rgb="FF1F4E78"/>
      <name val="Carlito"/>
    </font>
    <font>
      <b/>
      <sz val="11"/>
      <color rgb="FFFF0000"/>
      <name val="Carlito"/>
    </font>
    <font>
      <b/>
      <sz val="11"/>
      <name val="Carlito"/>
    </font>
    <font>
      <b/>
      <sz val="11"/>
      <color theme="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E2F0D9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4" fillId="4" borderId="0" xfId="0" applyFont="1" applyFill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164" fontId="3" fillId="3" borderId="0" xfId="0" applyNumberFormat="1" applyFont="1" applyFill="1"/>
    <xf numFmtId="3" fontId="3" fillId="3" borderId="0" xfId="0" applyNumberFormat="1" applyFont="1" applyFill="1"/>
    <xf numFmtId="165" fontId="3" fillId="3" borderId="0" xfId="0" applyNumberFormat="1" applyFont="1" applyFill="1"/>
    <xf numFmtId="166" fontId="3" fillId="3" borderId="0" xfId="0" applyNumberFormat="1" applyFont="1" applyFill="1"/>
    <xf numFmtId="166" fontId="0" fillId="0" borderId="0" xfId="0" applyNumberFormat="1"/>
    <xf numFmtId="164" fontId="0" fillId="0" borderId="0" xfId="0" applyNumberFormat="1"/>
    <xf numFmtId="2" fontId="0" fillId="0" borderId="0" xfId="0" applyNumberFormat="1"/>
    <xf numFmtId="164" fontId="4" fillId="4" borderId="0" xfId="0" applyNumberFormat="1" applyFont="1" applyFill="1"/>
    <xf numFmtId="165" fontId="4" fillId="4" borderId="0" xfId="0" applyNumberFormat="1" applyFont="1" applyFill="1"/>
    <xf numFmtId="166" fontId="4" fillId="4" borderId="0" xfId="0" applyNumberFormat="1" applyFont="1" applyFill="1"/>
    <xf numFmtId="165" fontId="0" fillId="0" borderId="0" xfId="0" applyNumberFormat="1"/>
    <xf numFmtId="166" fontId="2" fillId="2" borderId="0" xfId="0" applyNumberFormat="1" applyFont="1" applyFill="1" applyAlignment="1">
      <alignment horizontal="center"/>
    </xf>
    <xf numFmtId="167" fontId="0" fillId="0" borderId="0" xfId="0" applyNumberFormat="1"/>
    <xf numFmtId="167" fontId="4" fillId="4" borderId="0" xfId="0" applyNumberFormat="1" applyFont="1" applyFill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2" fillId="5" borderId="0" xfId="0" applyFont="1" applyFill="1" applyAlignment="1">
      <alignment horizontal="left"/>
    </xf>
    <xf numFmtId="0" fontId="8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6"/>
  <sheetViews>
    <sheetView tabSelected="1" topLeftCell="A21" zoomScale="65" zoomScaleNormal="35" workbookViewId="0">
      <selection activeCell="C9" sqref="C9"/>
    </sheetView>
  </sheetViews>
  <sheetFormatPr defaultRowHeight="14"/>
  <cols>
    <col min="1" max="1" width="31" customWidth="1"/>
    <col min="2" max="6" width="16" customWidth="1"/>
    <col min="7" max="7" width="17.58203125" customWidth="1"/>
    <col min="8" max="8" width="23.83203125" customWidth="1"/>
    <col min="9" max="9" width="18.4140625" customWidth="1"/>
    <col min="10" max="10" width="21.4140625" customWidth="1"/>
    <col min="11" max="11" width="31.08203125" customWidth="1"/>
    <col min="12" max="12" width="22.33203125" customWidth="1"/>
    <col min="13" max="16" width="16" customWidth="1"/>
    <col min="17" max="17" width="16.1640625" customWidth="1"/>
  </cols>
  <sheetData>
    <row r="1" spans="1:17">
      <c r="A1" s="6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4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4" spans="1:17">
      <c r="A4" s="2" t="s">
        <v>0</v>
      </c>
      <c r="B4" s="2"/>
      <c r="C4" s="2"/>
      <c r="D4" s="21"/>
      <c r="F4" s="2" t="s">
        <v>1</v>
      </c>
      <c r="G4" s="2"/>
      <c r="H4" s="2"/>
      <c r="I4" s="2"/>
      <c r="J4" s="2"/>
      <c r="K4" s="2"/>
      <c r="L4" s="2"/>
      <c r="M4" s="2"/>
      <c r="N4" s="2"/>
      <c r="O4" s="2"/>
      <c r="P4" s="2"/>
    </row>
    <row r="5" spans="1:17">
      <c r="A5" s="3" t="s">
        <v>2</v>
      </c>
      <c r="B5" s="3" t="s">
        <v>3</v>
      </c>
      <c r="C5" s="3" t="s">
        <v>4</v>
      </c>
      <c r="D5" s="22"/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  <c r="O5" s="3" t="s">
        <v>14</v>
      </c>
      <c r="P5" s="3" t="s">
        <v>15</v>
      </c>
    </row>
    <row r="6" spans="1:17">
      <c r="A6" t="s">
        <v>16</v>
      </c>
      <c r="B6" s="7">
        <v>33.729999999999997</v>
      </c>
      <c r="C6" t="s">
        <v>17</v>
      </c>
      <c r="F6" t="s">
        <v>18</v>
      </c>
      <c r="G6" s="10">
        <v>0.04</v>
      </c>
      <c r="H6" s="10">
        <v>0.04</v>
      </c>
      <c r="I6" s="10">
        <v>3.5000000000000003E-2</v>
      </c>
      <c r="J6" s="10">
        <v>0.03</v>
      </c>
      <c r="K6" s="10">
        <v>2.5000000000000001E-2</v>
      </c>
      <c r="L6" s="10">
        <v>0.18</v>
      </c>
      <c r="M6" s="10">
        <v>0.18</v>
      </c>
      <c r="N6" s="10">
        <v>0.18</v>
      </c>
      <c r="O6" s="10">
        <v>0.18</v>
      </c>
      <c r="P6" s="10">
        <v>0.18</v>
      </c>
    </row>
    <row r="7" spans="1:17">
      <c r="A7" t="s">
        <v>19</v>
      </c>
      <c r="B7" s="7">
        <v>1.9</v>
      </c>
      <c r="C7" t="s">
        <v>17</v>
      </c>
      <c r="F7" t="s">
        <v>20</v>
      </c>
      <c r="G7" s="10">
        <v>0.06</v>
      </c>
      <c r="H7" s="10">
        <v>0.06</v>
      </c>
      <c r="I7" s="10">
        <v>5.5E-2</v>
      </c>
      <c r="J7" s="10">
        <v>0.05</v>
      </c>
      <c r="K7" s="10">
        <v>4.4999999999999998E-2</v>
      </c>
      <c r="L7" s="10">
        <v>0.18</v>
      </c>
      <c r="M7" s="10">
        <v>0.185</v>
      </c>
      <c r="N7" s="10">
        <v>0.19</v>
      </c>
      <c r="O7" s="10">
        <v>0.19500000000000001</v>
      </c>
      <c r="P7" s="10">
        <v>0.2</v>
      </c>
    </row>
    <row r="8" spans="1:17">
      <c r="A8" t="s">
        <v>21</v>
      </c>
      <c r="B8" s="8">
        <v>990</v>
      </c>
      <c r="C8" t="s">
        <v>98</v>
      </c>
      <c r="F8" t="s">
        <v>22</v>
      </c>
      <c r="G8" s="10">
        <v>0.08</v>
      </c>
      <c r="H8" s="10">
        <v>0.08</v>
      </c>
      <c r="I8" s="10">
        <v>7.4999999999999997E-2</v>
      </c>
      <c r="J8" s="10">
        <v>7.0000000000000007E-2</v>
      </c>
      <c r="K8" s="10">
        <v>6.5000000000000002E-2</v>
      </c>
      <c r="L8" s="10">
        <v>0.18</v>
      </c>
      <c r="M8" s="10">
        <v>0.19</v>
      </c>
      <c r="N8" s="10">
        <v>0.2</v>
      </c>
      <c r="O8" s="10">
        <v>0.21</v>
      </c>
      <c r="P8" s="10">
        <v>0.22</v>
      </c>
    </row>
    <row r="9" spans="1:17">
      <c r="A9" t="s">
        <v>23</v>
      </c>
      <c r="B9" s="9">
        <v>42.5</v>
      </c>
      <c r="C9" t="s">
        <v>24</v>
      </c>
    </row>
    <row r="10" spans="1:17">
      <c r="A10" t="s">
        <v>25</v>
      </c>
      <c r="B10" s="10">
        <v>0.2</v>
      </c>
      <c r="C10" t="s">
        <v>26</v>
      </c>
      <c r="F10" s="2" t="s">
        <v>27</v>
      </c>
      <c r="G10" s="2"/>
      <c r="H10" s="2"/>
      <c r="I10" s="2"/>
      <c r="J10" s="21"/>
    </row>
    <row r="11" spans="1:17">
      <c r="A11" t="s">
        <v>28</v>
      </c>
      <c r="B11" s="10">
        <v>2.5000000000000001E-2</v>
      </c>
      <c r="C11" t="s">
        <v>26</v>
      </c>
      <c r="F11" s="3" t="s">
        <v>5</v>
      </c>
      <c r="G11" s="3" t="s">
        <v>29</v>
      </c>
      <c r="H11" s="3" t="s">
        <v>30</v>
      </c>
      <c r="I11" s="3" t="s">
        <v>31</v>
      </c>
      <c r="J11" s="22"/>
    </row>
    <row r="12" spans="1:17">
      <c r="A12" t="s">
        <v>32</v>
      </c>
      <c r="B12" s="10">
        <v>0.03</v>
      </c>
      <c r="C12" t="s">
        <v>26</v>
      </c>
      <c r="F12" t="s">
        <v>18</v>
      </c>
      <c r="G12" s="10">
        <v>0.1</v>
      </c>
      <c r="H12" s="10">
        <v>0.02</v>
      </c>
      <c r="I12" s="10">
        <v>0.3</v>
      </c>
    </row>
    <row r="13" spans="1:17">
      <c r="A13" t="s">
        <v>33</v>
      </c>
      <c r="B13" s="10">
        <v>0.01</v>
      </c>
      <c r="C13" t="s">
        <v>26</v>
      </c>
      <c r="F13" t="s">
        <v>20</v>
      </c>
      <c r="G13" s="10">
        <v>0.09</v>
      </c>
      <c r="H13" s="10">
        <v>2.5000000000000001E-2</v>
      </c>
      <c r="I13" s="10">
        <v>0.5</v>
      </c>
    </row>
    <row r="14" spans="1:17">
      <c r="F14" t="s">
        <v>22</v>
      </c>
      <c r="G14" s="10">
        <v>8.5000000000000006E-2</v>
      </c>
      <c r="H14" s="10">
        <v>0.03</v>
      </c>
      <c r="I14" s="10">
        <v>0.2</v>
      </c>
    </row>
    <row r="16" spans="1:17">
      <c r="A16" s="2" t="s">
        <v>34</v>
      </c>
      <c r="B16" s="2"/>
      <c r="C16" s="2"/>
      <c r="D16" s="2"/>
      <c r="E16" s="2"/>
      <c r="F16" s="2"/>
      <c r="G16" s="2"/>
      <c r="H16" s="2"/>
      <c r="I16" s="2"/>
      <c r="K16" s="2" t="s">
        <v>35</v>
      </c>
      <c r="L16" s="2"/>
      <c r="M16" s="2"/>
      <c r="N16" s="2"/>
      <c r="O16" s="2"/>
      <c r="P16" s="2"/>
      <c r="Q16" s="2"/>
    </row>
    <row r="17" spans="1:17">
      <c r="A17" s="3" t="s">
        <v>2</v>
      </c>
      <c r="B17" s="3" t="s">
        <v>36</v>
      </c>
      <c r="C17" s="3" t="s">
        <v>37</v>
      </c>
      <c r="D17" s="3" t="s">
        <v>38</v>
      </c>
      <c r="E17" s="3" t="s">
        <v>39</v>
      </c>
      <c r="F17" s="3" t="s">
        <v>40</v>
      </c>
      <c r="G17" s="3"/>
      <c r="H17" s="3" t="s">
        <v>41</v>
      </c>
      <c r="I17" s="3" t="s">
        <v>3</v>
      </c>
      <c r="K17" s="3" t="s">
        <v>5</v>
      </c>
      <c r="L17" s="3" t="s">
        <v>42</v>
      </c>
      <c r="M17" s="3" t="s">
        <v>43</v>
      </c>
      <c r="N17" s="3" t="s">
        <v>29</v>
      </c>
      <c r="O17" s="3" t="s">
        <v>30</v>
      </c>
      <c r="P17" s="3" t="s">
        <v>44</v>
      </c>
      <c r="Q17" s="3" t="s">
        <v>31</v>
      </c>
    </row>
    <row r="18" spans="1:17">
      <c r="A18" t="s">
        <v>45</v>
      </c>
      <c r="B18" s="11">
        <f>G7</f>
        <v>0.06</v>
      </c>
      <c r="C18" s="11">
        <f>H7</f>
        <v>0.06</v>
      </c>
      <c r="D18" s="11">
        <f>I7</f>
        <v>5.5E-2</v>
      </c>
      <c r="E18" s="11">
        <f>J7</f>
        <v>0.05</v>
      </c>
      <c r="F18" s="11">
        <f>K7</f>
        <v>4.4999999999999998E-2</v>
      </c>
      <c r="H18" s="4" t="s">
        <v>46</v>
      </c>
      <c r="I18" s="14">
        <f>SUM(B28:F28)</f>
        <v>22.490969291276663</v>
      </c>
      <c r="K18" t="s">
        <v>18</v>
      </c>
      <c r="L18" s="12">
        <f>F38</f>
        <v>39.864329116559993</v>
      </c>
      <c r="M18" s="11">
        <f>F37</f>
        <v>0.18</v>
      </c>
      <c r="N18" s="11">
        <f t="shared" ref="N18:O20" si="0">G12</f>
        <v>0.1</v>
      </c>
      <c r="O18" s="11">
        <f t="shared" si="0"/>
        <v>0.02</v>
      </c>
      <c r="P18" s="17">
        <f>I41</f>
        <v>66.003614572244246</v>
      </c>
      <c r="Q18" s="11">
        <f>I12</f>
        <v>0.3</v>
      </c>
    </row>
    <row r="19" spans="1:17">
      <c r="A19" t="s">
        <v>47</v>
      </c>
      <c r="B19" s="11">
        <f>L7</f>
        <v>0.18</v>
      </c>
      <c r="C19" s="11">
        <f>M7</f>
        <v>0.185</v>
      </c>
      <c r="D19" s="11">
        <f>N7</f>
        <v>0.19</v>
      </c>
      <c r="E19" s="11">
        <f>O7</f>
        <v>0.19500000000000001</v>
      </c>
      <c r="F19" s="11">
        <f>P7</f>
        <v>0.2</v>
      </c>
      <c r="H19" s="4" t="s">
        <v>48</v>
      </c>
      <c r="I19" s="14">
        <f>F26*(1+$H$13)/($G$13-$H$13)</f>
        <v>106.93505296708234</v>
      </c>
      <c r="K19" t="s">
        <v>20</v>
      </c>
      <c r="L19" s="12">
        <f>F20</f>
        <v>43.871867439014991</v>
      </c>
      <c r="M19" s="11">
        <f>F19</f>
        <v>0.2</v>
      </c>
      <c r="N19" s="11">
        <f>G13</f>
        <v>0.09</v>
      </c>
      <c r="O19" s="11">
        <f>H13</f>
        <v>2.5000000000000001E-2</v>
      </c>
      <c r="P19" s="17">
        <f>I24</f>
        <v>94.839814656625748</v>
      </c>
      <c r="Q19" s="11">
        <f>I13</f>
        <v>0.5</v>
      </c>
    </row>
    <row r="20" spans="1:17">
      <c r="A20" t="s">
        <v>49</v>
      </c>
      <c r="B20" s="13">
        <f>$B$6*(1+B18)</f>
        <v>35.753799999999998</v>
      </c>
      <c r="C20" s="13">
        <f>B20*(1+C18)</f>
        <v>37.899028000000001</v>
      </c>
      <c r="D20" s="13">
        <f>C20*(1+D18)</f>
        <v>39.983474539999996</v>
      </c>
      <c r="E20" s="13">
        <f>D20*(1+E18)</f>
        <v>41.982648266999995</v>
      </c>
      <c r="F20" s="13">
        <f>E20*(1+F18)</f>
        <v>43.871867439014991</v>
      </c>
      <c r="H20" s="4" t="s">
        <v>50</v>
      </c>
      <c r="I20" s="14">
        <f>I19/(1+$G$13)^5</f>
        <v>69.50044721878281</v>
      </c>
      <c r="K20" t="s">
        <v>22</v>
      </c>
      <c r="L20" s="12">
        <f>F55</f>
        <v>48.19541251842</v>
      </c>
      <c r="M20" s="11">
        <f>F54</f>
        <v>0.22</v>
      </c>
      <c r="N20" s="11">
        <f t="shared" si="0"/>
        <v>8.5000000000000006E-2</v>
      </c>
      <c r="O20" s="11">
        <f t="shared" si="0"/>
        <v>0.03</v>
      </c>
      <c r="P20" s="17">
        <f>I58</f>
        <v>130.88691150656348</v>
      </c>
      <c r="Q20" s="11">
        <f>I14</f>
        <v>0.2</v>
      </c>
    </row>
    <row r="21" spans="1:17">
      <c r="A21" t="s">
        <v>51</v>
      </c>
      <c r="B21" s="13">
        <f>B20*B19</f>
        <v>6.4356839999999993</v>
      </c>
      <c r="C21" s="13">
        <f>C20*C19</f>
        <v>7.0113201800000002</v>
      </c>
      <c r="D21" s="13">
        <f>D20*D19</f>
        <v>7.5968601625999996</v>
      </c>
      <c r="E21" s="13">
        <f>E20*E19</f>
        <v>8.1866164120649998</v>
      </c>
      <c r="F21" s="13">
        <f>F20*F19</f>
        <v>8.7743734878029986</v>
      </c>
      <c r="H21" s="4" t="s">
        <v>52</v>
      </c>
      <c r="I21" s="14">
        <f>I18+I20</f>
        <v>91.99141651005948</v>
      </c>
    </row>
    <row r="22" spans="1:17">
      <c r="A22" t="s">
        <v>53</v>
      </c>
      <c r="B22" s="13">
        <f>B21*(1-$B$10)</f>
        <v>5.1485471999999994</v>
      </c>
      <c r="C22" s="13">
        <f>C21*(1-$B$10)</f>
        <v>5.6090561440000002</v>
      </c>
      <c r="D22" s="13">
        <f>D21*(1-$B$10)</f>
        <v>6.0774881300799999</v>
      </c>
      <c r="E22" s="13">
        <f>E21*(1-$B$10)</f>
        <v>6.5492931296519998</v>
      </c>
      <c r="F22" s="13">
        <f>F21*(1-$B$10)</f>
        <v>7.0194987902423991</v>
      </c>
      <c r="H22" s="4" t="s">
        <v>54</v>
      </c>
      <c r="I22" s="14">
        <f>$B$7</f>
        <v>1.9</v>
      </c>
      <c r="K22" s="2" t="s">
        <v>55</v>
      </c>
      <c r="L22" s="21"/>
      <c r="M22" s="21"/>
      <c r="N22" s="21"/>
      <c r="O22" s="21"/>
      <c r="P22" s="21"/>
      <c r="Q22" s="21"/>
    </row>
    <row r="23" spans="1:17">
      <c r="A23" t="s">
        <v>56</v>
      </c>
      <c r="B23" s="13">
        <f>B20*$B$11</f>
        <v>0.893845</v>
      </c>
      <c r="C23" s="13">
        <f>C20*$B$11</f>
        <v>0.94747570000000003</v>
      </c>
      <c r="D23" s="13">
        <f>D20*$B$11</f>
        <v>0.99958686349999992</v>
      </c>
      <c r="E23" s="13">
        <f>E20*$B$11</f>
        <v>1.049566206675</v>
      </c>
      <c r="F23" s="13">
        <f>F20*$B$11</f>
        <v>1.0967966859753748</v>
      </c>
      <c r="H23" s="4" t="s">
        <v>57</v>
      </c>
      <c r="I23" s="14">
        <f>I21+I22</f>
        <v>93.891416510059486</v>
      </c>
      <c r="K23" t="s">
        <v>58</v>
      </c>
      <c r="L23" s="15">
        <f>SUMPRODUCT(P18:P20,Q18:Q20)</f>
        <v>93.398374001298833</v>
      </c>
    </row>
    <row r="24" spans="1:17">
      <c r="A24" t="s">
        <v>59</v>
      </c>
      <c r="B24" s="13">
        <f>B20*$B$12</f>
        <v>1.072614</v>
      </c>
      <c r="C24" s="13">
        <f>C20*$B$12</f>
        <v>1.13697084</v>
      </c>
      <c r="D24" s="13">
        <f>D20*$B$12</f>
        <v>1.1995042361999999</v>
      </c>
      <c r="E24" s="13">
        <f>E20*$B$12</f>
        <v>1.2594794480099998</v>
      </c>
      <c r="F24" s="13">
        <f>F20*$B$12</f>
        <v>1.3161560231704497</v>
      </c>
      <c r="H24" s="4" t="s">
        <v>60</v>
      </c>
      <c r="I24" s="15">
        <f>I23*1000/$B$8</f>
        <v>94.839814656625748</v>
      </c>
    </row>
    <row r="25" spans="1:17">
      <c r="A25" t="s">
        <v>61</v>
      </c>
      <c r="B25" s="13">
        <f>(B20-$B$6)*$B$13</f>
        <v>2.0238000000000013E-2</v>
      </c>
      <c r="C25" s="13">
        <f>(C20-B20)*$B$13</f>
        <v>2.1452280000000032E-2</v>
      </c>
      <c r="D25" s="13">
        <f>(D20-C20)*$B$13</f>
        <v>2.0844465399999949E-2</v>
      </c>
      <c r="E25" s="13">
        <f>(E20-D20)*$B$13</f>
        <v>1.9991737269999987E-2</v>
      </c>
      <c r="F25" s="13">
        <f>(F20-E20)*$B$13</f>
        <v>1.8892191720149967E-2</v>
      </c>
      <c r="H25" s="4" t="s">
        <v>62</v>
      </c>
      <c r="I25" s="16">
        <f>I24/$B$9-1</f>
        <v>1.2315250507441351</v>
      </c>
    </row>
    <row r="26" spans="1:17">
      <c r="A26" t="s">
        <v>63</v>
      </c>
      <c r="B26" s="13">
        <f>B22+B23-B24-B25</f>
        <v>4.9495401999999995</v>
      </c>
      <c r="C26" s="13">
        <f>C22+C23-C24-C25</f>
        <v>5.3981087240000001</v>
      </c>
      <c r="D26" s="13">
        <f>D22+D23-D24-D25</f>
        <v>5.8567262919800003</v>
      </c>
      <c r="E26" s="13">
        <f>E22+E23-E24-E25</f>
        <v>6.3193881510470007</v>
      </c>
      <c r="F26" s="13">
        <f>F22+F23-F24-F25</f>
        <v>6.7812472613271737</v>
      </c>
      <c r="H26" s="4" t="s">
        <v>64</v>
      </c>
      <c r="I26" s="16">
        <f>I20/I21</f>
        <v>0.75551013187390992</v>
      </c>
      <c r="K26" s="2" t="s">
        <v>65</v>
      </c>
      <c r="L26" s="2"/>
      <c r="M26" s="2"/>
      <c r="N26" s="2"/>
    </row>
    <row r="27" spans="1:17">
      <c r="A27" t="s">
        <v>66</v>
      </c>
      <c r="B27" s="13">
        <f>1/(1+$G$13)^1</f>
        <v>0.9174311926605504</v>
      </c>
      <c r="C27" s="13">
        <f>1/(1+$G$13)^2</f>
        <v>0.84167999326655996</v>
      </c>
      <c r="D27" s="13">
        <f>1/(1+$G$13)^3</f>
        <v>0.77218348006106419</v>
      </c>
      <c r="E27" s="13">
        <f>1/(1+$G$13)^4</f>
        <v>0.7084252110651964</v>
      </c>
      <c r="F27" s="13">
        <f>1/(1+$G$13)^5</f>
        <v>0.64993138629834524</v>
      </c>
      <c r="K27" s="3" t="s">
        <v>67</v>
      </c>
      <c r="L27" s="18">
        <v>0.08</v>
      </c>
      <c r="M27" s="18">
        <v>0.09</v>
      </c>
      <c r="N27" s="18">
        <v>0.1</v>
      </c>
    </row>
    <row r="28" spans="1:17">
      <c r="A28" t="s">
        <v>68</v>
      </c>
      <c r="B28" s="13">
        <f>B26*B27</f>
        <v>4.5408625688073387</v>
      </c>
      <c r="C28" s="13">
        <f>C26*C27</f>
        <v>4.5434801144684789</v>
      </c>
      <c r="D28" s="13">
        <f>D26*D27</f>
        <v>4.522467289906249</v>
      </c>
      <c r="E28" s="13">
        <f>E26*E27</f>
        <v>4.4768138847083723</v>
      </c>
      <c r="F28" s="13">
        <f>F26*F27</f>
        <v>4.4073454333862268</v>
      </c>
      <c r="K28" s="11">
        <v>0.02</v>
      </c>
      <c r="L28" s="15">
        <f>(SUM($B$28:$F$28)+($F$26*(1+$K28)/(L$27-$K28))/(1+L$27)^5+$B$7)*1000/$B$8</f>
        <v>103.88830231122624</v>
      </c>
      <c r="M28" s="15">
        <f>(SUM($B$28:$F$28)+($F$26*(1+$K28)/(M$27-$K28))/(1+M$27)^5+$B$7)*1000/$B$8</f>
        <v>89.507362084319169</v>
      </c>
      <c r="N28" s="15">
        <f>(SUM($B$28:$F$28)+($F$26*(1+$K28)/(N$27-$K28))/(1+N$27)^5+$B$7)*1000/$B$8</f>
        <v>78.865037692254603</v>
      </c>
    </row>
    <row r="29" spans="1:17">
      <c r="A29" t="s">
        <v>69</v>
      </c>
      <c r="B29" s="11">
        <f>B26/B20</f>
        <v>0.13843396226415094</v>
      </c>
      <c r="C29" s="11">
        <f>C26/C20</f>
        <v>0.14243396226415095</v>
      </c>
      <c r="D29" s="11">
        <f>D26/D20</f>
        <v>0.14647867298578202</v>
      </c>
      <c r="E29" s="11">
        <f>E26/E20</f>
        <v>0.15052380952380956</v>
      </c>
      <c r="F29" s="11">
        <f>F26/F20</f>
        <v>0.15456937799043063</v>
      </c>
      <c r="K29" s="11">
        <v>2.5000000000000001E-2</v>
      </c>
      <c r="L29" s="15">
        <f>(SUM($B$28:$F$28)+($F$26*(1+$K29)/(L$27-$K29))/(1+L$27)^5+$B$7)*1000/$B$8</f>
        <v>111.51673692443354</v>
      </c>
      <c r="M29" s="15">
        <f>(SUM($B$28:$F$28)+($F$26*(1+$K29)/(M$27-$K29))/(1+M$27)^5+$B$7)*1000/$B$8</f>
        <v>94.839814656625748</v>
      </c>
      <c r="N29" s="15">
        <f>(SUM($B$28:$F$28)+($F$26*(1+$K29)/(N$27-$K29))/(1+N$27)^5+$B$7)*1000/$B$8</f>
        <v>82.763760860305098</v>
      </c>
    </row>
    <row r="30" spans="1:17">
      <c r="K30" s="11">
        <v>0.03</v>
      </c>
      <c r="L30" s="15">
        <f>(SUM($B$28:$F$28)+($F$26*(1+$K30)/(L$27-$K30))/(1+L$27)^5+$B$7)*1000/$B$8</f>
        <v>120.67085846028236</v>
      </c>
      <c r="M30" s="15">
        <f>(SUM($B$28:$F$28)+($F$26*(1+$K30)/(M$27-$K30))/(1+M$27)^5+$B$7)*1000/$B$8</f>
        <v>101.06100932431674</v>
      </c>
      <c r="N30" s="15">
        <f>(SUM($B$28:$F$28)+($F$26*(1+$K30)/(N$27-$K30))/(1+N$27)^5+$B$7)*1000/$B$8</f>
        <v>87.219444480934257</v>
      </c>
    </row>
    <row r="32" spans="1:17">
      <c r="A32" s="23"/>
      <c r="B32" s="21"/>
      <c r="C32" s="21"/>
      <c r="D32" s="21"/>
      <c r="E32" s="21"/>
      <c r="F32" s="21"/>
      <c r="G32" s="21"/>
      <c r="H32" s="21"/>
      <c r="I32" s="21"/>
    </row>
    <row r="33" spans="1:17">
      <c r="A33" s="2" t="s">
        <v>86</v>
      </c>
      <c r="B33" s="2"/>
      <c r="C33" s="2"/>
      <c r="D33" s="2"/>
      <c r="E33" s="2"/>
      <c r="F33" s="2"/>
      <c r="G33" s="2"/>
      <c r="H33" s="2"/>
      <c r="I33" s="2"/>
      <c r="K33" s="2" t="s">
        <v>72</v>
      </c>
      <c r="L33" s="2"/>
      <c r="M33" s="21"/>
    </row>
    <row r="34" spans="1:17">
      <c r="A34" s="2" t="s">
        <v>88</v>
      </c>
      <c r="B34" s="2"/>
      <c r="C34" s="2"/>
      <c r="D34" s="2"/>
      <c r="E34" s="2"/>
      <c r="F34" s="2"/>
      <c r="G34" s="2"/>
      <c r="H34" s="2"/>
      <c r="I34" s="2"/>
      <c r="K34" s="3" t="s">
        <v>73</v>
      </c>
      <c r="L34" s="3" t="s">
        <v>3</v>
      </c>
      <c r="M34" s="22"/>
    </row>
    <row r="35" spans="1:17">
      <c r="A35" s="3" t="s">
        <v>2</v>
      </c>
      <c r="B35" s="3" t="s">
        <v>36</v>
      </c>
      <c r="C35" s="3" t="s">
        <v>37</v>
      </c>
      <c r="D35" s="3" t="s">
        <v>38</v>
      </c>
      <c r="E35" s="3" t="s">
        <v>39</v>
      </c>
      <c r="F35" s="3" t="s">
        <v>40</v>
      </c>
      <c r="G35" s="3"/>
      <c r="H35" s="3" t="s">
        <v>41</v>
      </c>
      <c r="I35" s="3" t="s">
        <v>3</v>
      </c>
      <c r="K35" t="s">
        <v>64</v>
      </c>
      <c r="L35" s="16">
        <f>$I$26</f>
        <v>0.75551013187390992</v>
      </c>
    </row>
    <row r="36" spans="1:17">
      <c r="A36" t="s">
        <v>45</v>
      </c>
      <c r="B36" s="11">
        <f>G6</f>
        <v>0.04</v>
      </c>
      <c r="C36" s="11">
        <f>H6</f>
        <v>0.04</v>
      </c>
      <c r="D36" s="11">
        <f>I6</f>
        <v>3.5000000000000003E-2</v>
      </c>
      <c r="E36" s="11">
        <f>J6</f>
        <v>0.03</v>
      </c>
      <c r="F36" s="11">
        <f>K6</f>
        <v>2.5000000000000001E-2</v>
      </c>
      <c r="H36" t="s">
        <v>46</v>
      </c>
      <c r="I36" s="14">
        <f>SUM(B46:F46)</f>
        <v>19.65273643468193</v>
      </c>
      <c r="K36" t="s">
        <v>75</v>
      </c>
      <c r="L36" s="16">
        <f>$F$29</f>
        <v>0.15456937799043063</v>
      </c>
    </row>
    <row r="37" spans="1:17">
      <c r="A37" t="s">
        <v>47</v>
      </c>
      <c r="B37" s="11">
        <f>L6</f>
        <v>0.18</v>
      </c>
      <c r="C37" s="11">
        <f>M6</f>
        <v>0.18</v>
      </c>
      <c r="D37" s="11">
        <f>N6</f>
        <v>0.18</v>
      </c>
      <c r="E37" s="11">
        <f>O6</f>
        <v>0.18</v>
      </c>
      <c r="F37" s="11">
        <f>P6</f>
        <v>0.18</v>
      </c>
      <c r="H37" t="s">
        <v>48</v>
      </c>
      <c r="I37" s="14">
        <f>F44*(1+H12)/(G12-H12)</f>
        <v>70.525588936278055</v>
      </c>
      <c r="K37" t="s">
        <v>62</v>
      </c>
      <c r="L37" s="16">
        <f>$I$25</f>
        <v>1.2315250507441351</v>
      </c>
    </row>
    <row r="38" spans="1:17">
      <c r="A38" t="s">
        <v>49</v>
      </c>
      <c r="B38" s="12">
        <f>$B$6*(1+B36)</f>
        <v>35.0792</v>
      </c>
      <c r="C38" s="12">
        <f>B38*(1+C36)</f>
        <v>36.482368000000001</v>
      </c>
      <c r="D38" s="12">
        <f>C38*(1+D36)</f>
        <v>37.759250879999996</v>
      </c>
      <c r="E38" s="12">
        <f>D38*(1+E36)</f>
        <v>38.892028406399994</v>
      </c>
      <c r="F38" s="12">
        <f>E38*(1+F36)</f>
        <v>39.864329116559993</v>
      </c>
      <c r="H38" t="s">
        <v>50</v>
      </c>
      <c r="I38" s="14">
        <f>I37/(1+G12)^5</f>
        <v>43.790841991839869</v>
      </c>
    </row>
    <row r="39" spans="1:17">
      <c r="A39" t="s">
        <v>51</v>
      </c>
      <c r="B39" s="12">
        <f>B38*B37</f>
        <v>6.3142559999999994</v>
      </c>
      <c r="C39" s="12">
        <f>C38*C37</f>
        <v>6.5668262400000001</v>
      </c>
      <c r="D39" s="12">
        <f>D38*D37</f>
        <v>6.7966651583999989</v>
      </c>
      <c r="E39" s="12">
        <f>E38*E37</f>
        <v>7.0005651131519988</v>
      </c>
      <c r="F39" s="12">
        <f>F38*F37</f>
        <v>7.1755792409807988</v>
      </c>
      <c r="H39" t="s">
        <v>52</v>
      </c>
      <c r="I39" s="14">
        <f>I36+I38</f>
        <v>63.443578426521796</v>
      </c>
    </row>
    <row r="40" spans="1:17">
      <c r="A40" t="s">
        <v>53</v>
      </c>
      <c r="B40" s="12">
        <f>B39*(1-$B$10)</f>
        <v>5.0514048000000003</v>
      </c>
      <c r="C40" s="12">
        <f>C39*(1-$B$10)</f>
        <v>5.2534609920000008</v>
      </c>
      <c r="D40" s="12">
        <f>D39*(1-$B$10)</f>
        <v>5.4373321267199994</v>
      </c>
      <c r="E40" s="12">
        <f>E39*(1-$B$10)</f>
        <v>5.6004520905215998</v>
      </c>
      <c r="F40" s="12">
        <f>F39*(1-$B$10)</f>
        <v>5.7404633927846396</v>
      </c>
      <c r="H40" t="s">
        <v>57</v>
      </c>
      <c r="I40" s="14">
        <f>I39+$B$7</f>
        <v>65.343578426521802</v>
      </c>
      <c r="K40" s="27" t="s">
        <v>78</v>
      </c>
      <c r="L40" s="2"/>
      <c r="M40" s="2"/>
      <c r="N40" s="2"/>
      <c r="O40" s="2"/>
      <c r="P40" s="2"/>
      <c r="Q40" s="2"/>
    </row>
    <row r="41" spans="1:17">
      <c r="A41" t="s">
        <v>56</v>
      </c>
      <c r="B41" s="12">
        <f>B38*$B$11</f>
        <v>0.87698000000000009</v>
      </c>
      <c r="C41" s="12">
        <f>C38*$B$11</f>
        <v>0.91205920000000007</v>
      </c>
      <c r="D41" s="12">
        <f>D38*$B$11</f>
        <v>0.94398127199999993</v>
      </c>
      <c r="E41" s="12">
        <f>E38*$B$11</f>
        <v>0.97230071015999986</v>
      </c>
      <c r="F41" s="12">
        <f>F38*$B$11</f>
        <v>0.99660822791399983</v>
      </c>
      <c r="H41" t="s">
        <v>60</v>
      </c>
      <c r="I41" s="15">
        <f>I40*1000/$B$8</f>
        <v>66.003614572244246</v>
      </c>
      <c r="K41" s="3" t="s">
        <v>80</v>
      </c>
      <c r="L41" s="3" t="s">
        <v>45</v>
      </c>
      <c r="M41" s="3" t="s">
        <v>47</v>
      </c>
      <c r="N41" s="3" t="s">
        <v>69</v>
      </c>
      <c r="O41" s="3" t="s">
        <v>81</v>
      </c>
      <c r="P41" s="3" t="s">
        <v>82</v>
      </c>
      <c r="Q41" s="3" t="s">
        <v>83</v>
      </c>
    </row>
    <row r="42" spans="1:17">
      <c r="A42" t="s">
        <v>59</v>
      </c>
      <c r="B42" s="12">
        <f>B38*$B$12</f>
        <v>1.052376</v>
      </c>
      <c r="C42" s="12">
        <f>C38*$B$12</f>
        <v>1.09447104</v>
      </c>
      <c r="D42" s="12">
        <f>D38*$B$12</f>
        <v>1.1327775263999997</v>
      </c>
      <c r="E42" s="12">
        <f>E38*$B$12</f>
        <v>1.1667608521919999</v>
      </c>
      <c r="F42" s="12">
        <f>F38*$B$12</f>
        <v>1.1959298734967998</v>
      </c>
      <c r="K42" t="s">
        <v>84</v>
      </c>
      <c r="L42" s="11">
        <v>7.0000000000000007E-2</v>
      </c>
      <c r="M42" s="11">
        <v>0.17799999999999999</v>
      </c>
      <c r="N42" s="11">
        <v>0.121</v>
      </c>
      <c r="O42" s="19">
        <v>1.18</v>
      </c>
      <c r="P42" s="19">
        <v>5.33</v>
      </c>
      <c r="Q42" s="19">
        <v>8.51</v>
      </c>
    </row>
    <row r="43" spans="1:17">
      <c r="A43" t="s">
        <v>61</v>
      </c>
      <c r="B43" s="12">
        <f>(B38-$B$6)*$B$13</f>
        <v>1.3492000000000033E-2</v>
      </c>
      <c r="C43" s="12">
        <f>(C38-B38)*$B$13</f>
        <v>1.4031680000000008E-2</v>
      </c>
      <c r="D43" s="12">
        <f>(D38-C38)*$B$13</f>
        <v>1.2768828799999951E-2</v>
      </c>
      <c r="E43" s="12">
        <f>(E38-D38)*$B$13</f>
        <v>1.1327775263999982E-2</v>
      </c>
      <c r="F43" s="12">
        <f>(F38-E38)*$B$13</f>
        <v>9.7230071015999894E-3</v>
      </c>
      <c r="K43" t="s">
        <v>85</v>
      </c>
      <c r="L43" s="11">
        <v>4.9000000000000002E-2</v>
      </c>
      <c r="M43" s="11">
        <v>7.2999999999999995E-2</v>
      </c>
      <c r="N43" s="11">
        <v>0.13300000000000001</v>
      </c>
      <c r="O43" s="19">
        <v>1.64</v>
      </c>
      <c r="P43" s="19">
        <v>14.15</v>
      </c>
      <c r="Q43" s="19">
        <v>20.28</v>
      </c>
    </row>
    <row r="44" spans="1:17">
      <c r="A44" t="s">
        <v>91</v>
      </c>
      <c r="B44" s="12">
        <f>B40+B41-B42-B43</f>
        <v>4.8625167999999999</v>
      </c>
      <c r="C44" s="12">
        <f>C40+C41-C42-C43</f>
        <v>5.0570174720000001</v>
      </c>
      <c r="D44" s="12">
        <f>D40+D41-D42-D43</f>
        <v>5.2357670435200001</v>
      </c>
      <c r="E44" s="12">
        <f>E40+E41-E42-E43</f>
        <v>5.3946641732255998</v>
      </c>
      <c r="F44" s="12">
        <f>F40+F41-F42-F43</f>
        <v>5.5314187401002393</v>
      </c>
      <c r="K44" t="s">
        <v>87</v>
      </c>
      <c r="L44" s="11">
        <v>0.184</v>
      </c>
      <c r="M44" s="11">
        <v>0.55100000000000005</v>
      </c>
      <c r="N44" s="11">
        <v>0.38300000000000001</v>
      </c>
      <c r="O44" s="19">
        <v>6.75</v>
      </c>
      <c r="P44" s="19">
        <v>11.53</v>
      </c>
      <c r="Q44" s="19">
        <v>23.87</v>
      </c>
    </row>
    <row r="45" spans="1:17">
      <c r="A45" t="s">
        <v>66</v>
      </c>
      <c r="B45" s="13">
        <f>1/(1+G12)^1</f>
        <v>0.90909090909090906</v>
      </c>
      <c r="C45" s="13">
        <f>1/(1+G12)^2</f>
        <v>0.82644628099173545</v>
      </c>
      <c r="D45" s="13">
        <f>1/(1+G12)^3</f>
        <v>0.75131480090157754</v>
      </c>
      <c r="E45" s="13">
        <f>1/(1+G12)^4</f>
        <v>0.68301345536507052</v>
      </c>
      <c r="F45" s="13">
        <f>1/(1+G12)^5</f>
        <v>0.62092132305915493</v>
      </c>
      <c r="K45" t="s">
        <v>89</v>
      </c>
      <c r="L45" s="11">
        <v>1.7999999999999999E-2</v>
      </c>
      <c r="M45" s="11">
        <v>0.29699999999999999</v>
      </c>
      <c r="N45" s="11">
        <v>5.0999999999999997E-2</v>
      </c>
      <c r="O45" s="19">
        <v>2.8</v>
      </c>
      <c r="P45" s="19">
        <v>6.89</v>
      </c>
      <c r="Q45" s="19">
        <v>7</v>
      </c>
    </row>
    <row r="46" spans="1:17">
      <c r="A46" t="s">
        <v>92</v>
      </c>
      <c r="B46" s="12">
        <f>B44*B45</f>
        <v>4.4204698181818181</v>
      </c>
      <c r="C46" s="12">
        <f>C44*C45</f>
        <v>4.1793532826446276</v>
      </c>
      <c r="D46" s="12">
        <f>D44*D45</f>
        <v>3.9337092738692703</v>
      </c>
      <c r="E46" s="12">
        <f>E44*E45</f>
        <v>3.6846282174889682</v>
      </c>
      <c r="F46" s="12">
        <f>F44*F45</f>
        <v>3.4345758424972446</v>
      </c>
      <c r="K46" s="4" t="s">
        <v>90</v>
      </c>
      <c r="L46" s="16">
        <f t="shared" ref="L46:Q46" si="1">AVERAGE(L42:L45)</f>
        <v>8.0250000000000002E-2</v>
      </c>
      <c r="M46" s="16">
        <f t="shared" si="1"/>
        <v>0.27474999999999999</v>
      </c>
      <c r="N46" s="16">
        <f t="shared" si="1"/>
        <v>0.17200000000000001</v>
      </c>
      <c r="O46" s="20">
        <f t="shared" si="1"/>
        <v>3.0925000000000002</v>
      </c>
      <c r="P46" s="20">
        <f t="shared" si="1"/>
        <v>9.4749999999999996</v>
      </c>
      <c r="Q46" s="20">
        <f t="shared" si="1"/>
        <v>14.914999999999999</v>
      </c>
    </row>
    <row r="47" spans="1:17">
      <c r="A47" t="s">
        <v>69</v>
      </c>
      <c r="B47" s="11">
        <f>B44/B38</f>
        <v>0.13861538461538461</v>
      </c>
      <c r="C47" s="11">
        <f>C44/C38</f>
        <v>0.13861538461538461</v>
      </c>
      <c r="D47" s="11">
        <f>D44/D38</f>
        <v>0.13866183574879229</v>
      </c>
      <c r="E47" s="11">
        <f>E44/E38</f>
        <v>0.1387087378640777</v>
      </c>
      <c r="F47" s="11">
        <f>F44/F38</f>
        <v>0.13875609756097562</v>
      </c>
    </row>
    <row r="49" spans="1:18">
      <c r="K49" s="28" t="s">
        <v>97</v>
      </c>
    </row>
    <row r="50" spans="1:18">
      <c r="K50" s="24" t="s">
        <v>2</v>
      </c>
      <c r="L50" s="24" t="s">
        <v>95</v>
      </c>
      <c r="M50" s="24" t="s">
        <v>96</v>
      </c>
      <c r="N50" s="24" t="s">
        <v>36</v>
      </c>
      <c r="O50" s="24" t="s">
        <v>37</v>
      </c>
      <c r="P50" s="24" t="s">
        <v>38</v>
      </c>
      <c r="Q50" s="24" t="s">
        <v>39</v>
      </c>
      <c r="R50" s="24" t="s">
        <v>40</v>
      </c>
    </row>
    <row r="51" spans="1:18">
      <c r="A51" s="2" t="s">
        <v>93</v>
      </c>
      <c r="B51" s="2"/>
      <c r="C51" s="2"/>
      <c r="D51" s="2"/>
      <c r="E51" s="2"/>
      <c r="F51" s="2"/>
      <c r="G51" s="2"/>
      <c r="H51" s="2"/>
      <c r="I51" s="2"/>
      <c r="K51" s="25" t="s">
        <v>49</v>
      </c>
      <c r="L51" s="25">
        <v>31.8</v>
      </c>
      <c r="M51" s="25">
        <v>33.700000000000003</v>
      </c>
      <c r="N51" s="25">
        <v>35.799999999999997</v>
      </c>
      <c r="O51" s="25">
        <v>37.9</v>
      </c>
      <c r="P51" s="25">
        <v>40</v>
      </c>
      <c r="Q51" s="25">
        <v>42</v>
      </c>
      <c r="R51" s="25">
        <v>43.9</v>
      </c>
    </row>
    <row r="52" spans="1:18">
      <c r="A52" s="3" t="s">
        <v>2</v>
      </c>
      <c r="B52" s="3" t="s">
        <v>36</v>
      </c>
      <c r="C52" s="3" t="s">
        <v>37</v>
      </c>
      <c r="D52" s="3" t="s">
        <v>38</v>
      </c>
      <c r="E52" s="3" t="s">
        <v>39</v>
      </c>
      <c r="F52" s="3" t="s">
        <v>40</v>
      </c>
      <c r="G52" s="3"/>
      <c r="H52" s="3" t="s">
        <v>41</v>
      </c>
      <c r="I52" s="3" t="s">
        <v>3</v>
      </c>
      <c r="K52" s="25" t="s">
        <v>45</v>
      </c>
      <c r="L52" s="26">
        <v>7.0000000000000007E-2</v>
      </c>
      <c r="M52" s="26">
        <v>6.0999999999999999E-2</v>
      </c>
      <c r="N52" s="26">
        <v>0.06</v>
      </c>
      <c r="O52" s="26">
        <v>0.06</v>
      </c>
      <c r="P52" s="26">
        <v>5.5E-2</v>
      </c>
      <c r="Q52" s="26">
        <v>0.05</v>
      </c>
      <c r="R52" s="26">
        <v>4.4999999999999998E-2</v>
      </c>
    </row>
    <row r="53" spans="1:18">
      <c r="A53" t="s">
        <v>45</v>
      </c>
      <c r="B53" s="11">
        <f>G8</f>
        <v>0.08</v>
      </c>
      <c r="C53" s="11">
        <f>H8</f>
        <v>0.08</v>
      </c>
      <c r="D53" s="11">
        <f>I8</f>
        <v>7.4999999999999997E-2</v>
      </c>
      <c r="E53" s="11">
        <f>J8</f>
        <v>7.0000000000000007E-2</v>
      </c>
      <c r="F53" s="11">
        <f>K8</f>
        <v>6.5000000000000002E-2</v>
      </c>
      <c r="H53" t="s">
        <v>46</v>
      </c>
      <c r="I53" s="14">
        <f>SUM(B63:F63)</f>
        <v>25.401788771059334</v>
      </c>
      <c r="K53" s="25" t="s">
        <v>47</v>
      </c>
      <c r="L53" s="26">
        <v>0.18099999999999999</v>
      </c>
      <c r="M53" s="26">
        <v>0.17799999999999999</v>
      </c>
      <c r="N53" s="26">
        <v>0.18</v>
      </c>
      <c r="O53" s="26">
        <v>0.185</v>
      </c>
      <c r="P53" s="26">
        <v>0.19</v>
      </c>
      <c r="Q53" s="26">
        <v>0.19500000000000001</v>
      </c>
      <c r="R53" s="26">
        <v>0.2</v>
      </c>
    </row>
    <row r="54" spans="1:18">
      <c r="A54" t="s">
        <v>47</v>
      </c>
      <c r="B54" s="11">
        <f>L8</f>
        <v>0.18</v>
      </c>
      <c r="C54" s="11">
        <f>M8</f>
        <v>0.19</v>
      </c>
      <c r="D54" s="11">
        <f>N8</f>
        <v>0.2</v>
      </c>
      <c r="E54" s="11">
        <f>O8</f>
        <v>0.21</v>
      </c>
      <c r="F54" s="11">
        <f>P8</f>
        <v>0.22</v>
      </c>
      <c r="H54" t="s">
        <v>48</v>
      </c>
      <c r="I54" s="14">
        <f>F61*(1+H14)/(G14-H14)</f>
        <v>153.78837300272701</v>
      </c>
      <c r="K54" s="25" t="s">
        <v>69</v>
      </c>
      <c r="L54" s="26">
        <v>0.21299999999999999</v>
      </c>
      <c r="M54" s="26">
        <v>0.121</v>
      </c>
      <c r="N54" s="26">
        <v>0.13800000000000001</v>
      </c>
      <c r="O54" s="26">
        <v>0.14199999999999999</v>
      </c>
      <c r="P54" s="26">
        <v>0.14599999999999999</v>
      </c>
      <c r="Q54" s="26">
        <v>0.151</v>
      </c>
      <c r="R54" s="26">
        <v>0.155</v>
      </c>
    </row>
    <row r="55" spans="1:18">
      <c r="A55" t="s">
        <v>49</v>
      </c>
      <c r="B55" s="12">
        <f>$B$6*(1+B53)</f>
        <v>36.428399999999996</v>
      </c>
      <c r="C55" s="12">
        <f>B55*(1+C53)</f>
        <v>39.342672</v>
      </c>
      <c r="D55" s="12">
        <f>C55*(1+D53)</f>
        <v>42.293372399999996</v>
      </c>
      <c r="E55" s="12">
        <f>D55*(1+E53)</f>
        <v>45.253908467999999</v>
      </c>
      <c r="F55" s="12">
        <f>E55*(1+F53)</f>
        <v>48.19541251842</v>
      </c>
      <c r="H55" t="s">
        <v>50</v>
      </c>
      <c r="I55" s="14">
        <f>I54/(1+G14)^5</f>
        <v>102.27625362043851</v>
      </c>
    </row>
    <row r="56" spans="1:18">
      <c r="A56" t="s">
        <v>51</v>
      </c>
      <c r="B56" s="12">
        <f>B55*B54</f>
        <v>6.5571119999999992</v>
      </c>
      <c r="C56" s="12">
        <f>C55*C54</f>
        <v>7.4751076799999998</v>
      </c>
      <c r="D56" s="12">
        <f>D55*D54</f>
        <v>8.4586744799999991</v>
      </c>
      <c r="E56" s="12">
        <f>E55*E54</f>
        <v>9.5033207782799991</v>
      </c>
      <c r="F56" s="12">
        <f>F55*F54</f>
        <v>10.602990754052399</v>
      </c>
      <c r="H56" t="s">
        <v>52</v>
      </c>
      <c r="I56" s="14">
        <f>I53+I55</f>
        <v>127.67804239149784</v>
      </c>
    </row>
    <row r="57" spans="1:18">
      <c r="A57" t="s">
        <v>53</v>
      </c>
      <c r="B57" s="12">
        <f>B56*(1-$B$10)</f>
        <v>5.2456895999999995</v>
      </c>
      <c r="C57" s="12">
        <f>C56*(1-$B$10)</f>
        <v>5.9800861440000004</v>
      </c>
      <c r="D57" s="12">
        <f>D56*(1-$B$10)</f>
        <v>6.7669395839999993</v>
      </c>
      <c r="E57" s="12">
        <f>E56*(1-$B$10)</f>
        <v>7.602656622624</v>
      </c>
      <c r="F57" s="12">
        <f>F56*(1-$B$10)</f>
        <v>8.4823926032419195</v>
      </c>
      <c r="H57" t="s">
        <v>57</v>
      </c>
      <c r="I57" s="14">
        <f>I56+$B$7</f>
        <v>129.57804239149783</v>
      </c>
    </row>
    <row r="58" spans="1:18">
      <c r="A58" t="s">
        <v>56</v>
      </c>
      <c r="B58" s="12">
        <f>B55*$B$11</f>
        <v>0.91070999999999991</v>
      </c>
      <c r="C58" s="12">
        <f>C55*$B$11</f>
        <v>0.98356680000000007</v>
      </c>
      <c r="D58" s="12">
        <f>D55*$B$11</f>
        <v>1.0573343099999999</v>
      </c>
      <c r="E58" s="12">
        <f>E55*$B$11</f>
        <v>1.1313477116999999</v>
      </c>
      <c r="F58" s="12">
        <f>F55*$B$11</f>
        <v>1.2048853129605002</v>
      </c>
      <c r="H58" t="s">
        <v>60</v>
      </c>
      <c r="I58" s="15">
        <f>I57*1000/$B$8</f>
        <v>130.88691150656348</v>
      </c>
    </row>
    <row r="59" spans="1:18">
      <c r="A59" t="s">
        <v>59</v>
      </c>
      <c r="B59" s="12">
        <f>B55*$B$12</f>
        <v>1.0928519999999999</v>
      </c>
      <c r="C59" s="12">
        <f>C55*$B$12</f>
        <v>1.1802801599999999</v>
      </c>
      <c r="D59" s="12">
        <f>D55*$B$12</f>
        <v>1.2688011719999999</v>
      </c>
      <c r="E59" s="12">
        <f>E55*$B$12</f>
        <v>1.35761725404</v>
      </c>
      <c r="F59" s="12">
        <f>F55*$B$12</f>
        <v>1.4458623755525999</v>
      </c>
    </row>
    <row r="60" spans="1:18">
      <c r="A60" t="s">
        <v>61</v>
      </c>
      <c r="B60" s="12">
        <f>(B55-$B$6)*$B$13</f>
        <v>2.6983999999999994E-2</v>
      </c>
      <c r="C60" s="12">
        <f>(C55-B55)*$B$13</f>
        <v>2.9142720000000039E-2</v>
      </c>
      <c r="D60" s="12">
        <f>(D55-C55)*$B$13</f>
        <v>2.9507003999999951E-2</v>
      </c>
      <c r="E60" s="12">
        <f>(E55-D55)*$B$13</f>
        <v>2.9605360680000033E-2</v>
      </c>
      <c r="F60" s="12">
        <f>(F55-E55)*$B$13</f>
        <v>2.9415040504200008E-2</v>
      </c>
    </row>
    <row r="61" spans="1:18">
      <c r="A61" t="s">
        <v>91</v>
      </c>
      <c r="B61" s="12">
        <f>B57+B58-B59-B60</f>
        <v>5.0365636</v>
      </c>
      <c r="C61" s="12">
        <f>C57+C58-C59-C60</f>
        <v>5.7542300640000006</v>
      </c>
      <c r="D61" s="12">
        <f>D57+D58-D59-D60</f>
        <v>6.5259657179999992</v>
      </c>
      <c r="E61" s="12">
        <f>E57+E58-E59-E60</f>
        <v>7.3467817196040004</v>
      </c>
      <c r="F61" s="12">
        <f>F57+F58-F59-F60</f>
        <v>8.2120005001456189</v>
      </c>
    </row>
    <row r="62" spans="1:18">
      <c r="A62" t="s">
        <v>66</v>
      </c>
      <c r="B62" s="13">
        <f>1/(1+G14)^1</f>
        <v>0.92165898617511521</v>
      </c>
      <c r="C62" s="13">
        <f>1/(1+G14)^2</f>
        <v>0.84945528679734128</v>
      </c>
      <c r="D62" s="13">
        <f>1/(1+G14)^3</f>
        <v>0.78290809843072917</v>
      </c>
      <c r="E62" s="13">
        <f>1/(1+G14)^4</f>
        <v>0.72157428426795334</v>
      </c>
      <c r="F62" s="13">
        <f>1/(1+G14)^5</f>
        <v>0.66504542328843619</v>
      </c>
    </row>
    <row r="63" spans="1:18">
      <c r="A63" t="s">
        <v>92</v>
      </c>
      <c r="B63" s="12">
        <f>B61*B62</f>
        <v>4.6419941013824886</v>
      </c>
      <c r="C63" s="12">
        <f>C61*C62</f>
        <v>4.8879611493130044</v>
      </c>
      <c r="D63" s="12">
        <f>D61*D62</f>
        <v>5.1092314107035079</v>
      </c>
      <c r="E63" s="12">
        <f>E61*E62</f>
        <v>5.3012487609961401</v>
      </c>
      <c r="F63" s="12">
        <f>F61*F62</f>
        <v>5.4613533486641925</v>
      </c>
    </row>
    <row r="64" spans="1:18">
      <c r="A64" t="s">
        <v>69</v>
      </c>
      <c r="B64" s="11">
        <f>B61/B55</f>
        <v>0.13825925925925928</v>
      </c>
      <c r="C64" s="11">
        <f>C61/C55</f>
        <v>0.14625925925925928</v>
      </c>
      <c r="D64" s="11">
        <f>D61/D55</f>
        <v>0.15430232558139534</v>
      </c>
      <c r="E64" s="11">
        <f>E61/E55</f>
        <v>0.16234579439252339</v>
      </c>
      <c r="F64" s="11">
        <f>F61/F55</f>
        <v>0.17038967136150232</v>
      </c>
    </row>
    <row r="68" spans="1:1">
      <c r="A68" s="2" t="s">
        <v>70</v>
      </c>
    </row>
    <row r="69" spans="1:1" ht="126">
      <c r="A69" s="5" t="s">
        <v>71</v>
      </c>
    </row>
    <row r="72" spans="1:1">
      <c r="A72" s="2" t="s">
        <v>74</v>
      </c>
    </row>
    <row r="73" spans="1:1" ht="112">
      <c r="A73" s="5" t="s">
        <v>76</v>
      </c>
    </row>
    <row r="76" spans="1:1">
      <c r="A76" s="2" t="s">
        <v>77</v>
      </c>
    </row>
    <row r="77" spans="1:1" ht="112">
      <c r="A77" s="5" t="s">
        <v>79</v>
      </c>
    </row>
    <row r="102" spans="1:1">
      <c r="A102" s="5"/>
    </row>
    <row r="106" spans="1:1">
      <c r="A106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76B7633C134545BF23BF4EF4777B47" ma:contentTypeVersion="8" ma:contentTypeDescription="Create a new document." ma:contentTypeScope="" ma:versionID="60d00ca9054a302668a219d8df7f159d">
  <xsd:schema xmlns:xsd="http://www.w3.org/2001/XMLSchema" xmlns:xs="http://www.w3.org/2001/XMLSchema" xmlns:p="http://schemas.microsoft.com/office/2006/metadata/properties" xmlns:ns3="a1d2a30f-c090-42d2-a1fe-38dddbdd732d" targetNamespace="http://schemas.microsoft.com/office/2006/metadata/properties" ma:root="true" ma:fieldsID="c3c9710ed575b7fcda6f313503b7ff0a" ns3:_="">
    <xsd:import namespace="a1d2a30f-c090-42d2-a1fe-38dddbdd732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2a30f-c090-42d2-a1fe-38dddbdd73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d2a30f-c090-42d2-a1fe-38dddbdd732d" xsi:nil="true"/>
  </documentManagement>
</p:properties>
</file>

<file path=customXml/itemProps1.xml><?xml version="1.0" encoding="utf-8"?>
<ds:datastoreItem xmlns:ds="http://schemas.openxmlformats.org/officeDocument/2006/customXml" ds:itemID="{71882EB5-7CB6-42DD-A854-0ED6B1A8D9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d2a30f-c090-42d2-a1fe-38dddbdd73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08EE9F-30E7-4A8F-8A4C-4656FDDD656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A674CD-B9B4-46B2-B3F6-023034F08B7F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elements/1.1/"/>
    <ds:schemaRef ds:uri="a1d2a30f-c090-42d2-a1fe-38dddbdd732d"/>
    <ds:schemaRef ds:uri="http://purl.org/dc/terms/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 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Gavin Connolly</cp:lastModifiedBy>
  <dcterms:created xsi:type="dcterms:W3CDTF">2026-06-05T19:27:13Z</dcterms:created>
  <dcterms:modified xsi:type="dcterms:W3CDTF">2026-06-05T19:33:28Z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0x010100E076B7633C134545BF23BF4EF4777B47</vt:lpwstr>
  </property>
</Properties>
</file>