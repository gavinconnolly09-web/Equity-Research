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gaco4625_colorado_edu/Documents/"/>
    </mc:Choice>
  </mc:AlternateContent>
  <xr:revisionPtr revIDLastSave="0" documentId="8_{AAB57892-B389-49F7-9E05-83294FCFB2A2}" xr6:coauthVersionLast="47" xr6:coauthVersionMax="47" xr10:uidLastSave="{00000000-0000-0000-0000-000000000000}"/>
  <bookViews>
    <workbookView xWindow="2850" yWindow="2090" windowWidth="16800" windowHeight="9670" xr2:uid="{3AF55418-0CA7-4CB2-8405-A0DC0549D8D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9" i="1" l="1"/>
  <c r="E59" i="1"/>
  <c r="D59" i="1"/>
  <c r="C59" i="1"/>
  <c r="B59" i="1"/>
  <c r="B55" i="1"/>
  <c r="B52" i="1"/>
  <c r="B53" i="1" s="1"/>
  <c r="B54" i="1" s="1"/>
  <c r="F51" i="1"/>
  <c r="E51" i="1"/>
  <c r="D51" i="1"/>
  <c r="C51" i="1"/>
  <c r="B51" i="1"/>
  <c r="F50" i="1"/>
  <c r="E50" i="1"/>
  <c r="D50" i="1"/>
  <c r="C50" i="1"/>
  <c r="B50" i="1"/>
  <c r="F44" i="1"/>
  <c r="E44" i="1"/>
  <c r="D44" i="1"/>
  <c r="C44" i="1"/>
  <c r="B44" i="1"/>
  <c r="F36" i="1"/>
  <c r="E36" i="1"/>
  <c r="D36" i="1"/>
  <c r="C36" i="1"/>
  <c r="B36" i="1"/>
  <c r="F35" i="1"/>
  <c r="E35" i="1"/>
  <c r="D35" i="1"/>
  <c r="C35" i="1"/>
  <c r="B35" i="1"/>
  <c r="B37" i="1" s="1"/>
  <c r="F29" i="1"/>
  <c r="E29" i="1"/>
  <c r="D29" i="1"/>
  <c r="C29" i="1"/>
  <c r="B29" i="1"/>
  <c r="B25" i="1"/>
  <c r="B22" i="1"/>
  <c r="C22" i="1" s="1"/>
  <c r="F21" i="1"/>
  <c r="E21" i="1"/>
  <c r="D21" i="1"/>
  <c r="C21" i="1"/>
  <c r="B21" i="1"/>
  <c r="F20" i="1"/>
  <c r="E20" i="1"/>
  <c r="D20" i="1"/>
  <c r="C20" i="1"/>
  <c r="B20" i="1"/>
  <c r="C37" i="1" l="1"/>
  <c r="B41" i="1"/>
  <c r="B38" i="1"/>
  <c r="B39" i="1" s="1"/>
  <c r="B40" i="1"/>
  <c r="C23" i="1"/>
  <c r="C24" i="1" s="1"/>
  <c r="C26" i="1"/>
  <c r="D22" i="1"/>
  <c r="C25" i="1"/>
  <c r="C27" i="1"/>
  <c r="C52" i="1"/>
  <c r="B56" i="1"/>
  <c r="B58" i="1" s="1"/>
  <c r="B26" i="1"/>
  <c r="B23" i="1"/>
  <c r="B24" i="1" s="1"/>
  <c r="B28" i="1" s="1"/>
  <c r="B61" i="1" l="1"/>
  <c r="B60" i="1"/>
  <c r="B30" i="1"/>
  <c r="B31" i="1"/>
  <c r="C57" i="1"/>
  <c r="D52" i="1"/>
  <c r="C53" i="1"/>
  <c r="C54" i="1" s="1"/>
  <c r="C56" i="1"/>
  <c r="C55" i="1"/>
  <c r="D23" i="1"/>
  <c r="D24" i="1" s="1"/>
  <c r="D27" i="1"/>
  <c r="E22" i="1"/>
  <c r="D26" i="1"/>
  <c r="D25" i="1"/>
  <c r="C28" i="1"/>
  <c r="B43" i="1"/>
  <c r="C38" i="1"/>
  <c r="C39" i="1" s="1"/>
  <c r="C43" i="1" s="1"/>
  <c r="C42" i="1"/>
  <c r="C41" i="1"/>
  <c r="D37" i="1"/>
  <c r="C40" i="1"/>
  <c r="D41" i="1" l="1"/>
  <c r="D40" i="1"/>
  <c r="D42" i="1"/>
  <c r="D38" i="1"/>
  <c r="D39" i="1" s="1"/>
  <c r="D43" i="1" s="1"/>
  <c r="E37" i="1"/>
  <c r="C30" i="1"/>
  <c r="C31" i="1"/>
  <c r="B46" i="1"/>
  <c r="B45" i="1"/>
  <c r="E26" i="1"/>
  <c r="F22" i="1"/>
  <c r="E27" i="1"/>
  <c r="E25" i="1"/>
  <c r="E23" i="1"/>
  <c r="E24" i="1" s="1"/>
  <c r="E28" i="1" s="1"/>
  <c r="D28" i="1"/>
  <c r="C58" i="1"/>
  <c r="D57" i="1"/>
  <c r="D53" i="1"/>
  <c r="D54" i="1" s="1"/>
  <c r="D58" i="1" s="1"/>
  <c r="D56" i="1"/>
  <c r="D55" i="1"/>
  <c r="E52" i="1"/>
  <c r="C46" i="1"/>
  <c r="C45" i="1"/>
  <c r="D61" i="1" l="1"/>
  <c r="D60" i="1"/>
  <c r="C61" i="1"/>
  <c r="C60" i="1"/>
  <c r="D30" i="1"/>
  <c r="D31" i="1"/>
  <c r="E30" i="1"/>
  <c r="E31" i="1"/>
  <c r="F26" i="1"/>
  <c r="F27" i="1"/>
  <c r="F23" i="1"/>
  <c r="F24" i="1" s="1"/>
  <c r="F28" i="1" s="1"/>
  <c r="F25" i="1"/>
  <c r="E40" i="1"/>
  <c r="E41" i="1"/>
  <c r="F37" i="1"/>
  <c r="E42" i="1"/>
  <c r="E38" i="1"/>
  <c r="E39" i="1" s="1"/>
  <c r="E43" i="1" s="1"/>
  <c r="D46" i="1"/>
  <c r="D45" i="1"/>
  <c r="E55" i="1"/>
  <c r="E57" i="1"/>
  <c r="E56" i="1"/>
  <c r="E53" i="1"/>
  <c r="E54" i="1" s="1"/>
  <c r="E58" i="1" s="1"/>
  <c r="F52" i="1"/>
  <c r="F42" i="1" l="1"/>
  <c r="F41" i="1"/>
  <c r="F40" i="1"/>
  <c r="F38" i="1"/>
  <c r="F39" i="1" s="1"/>
  <c r="F43" i="1" s="1"/>
  <c r="E45" i="1"/>
  <c r="E46" i="1"/>
  <c r="I21" i="1"/>
  <c r="I22" i="1" s="1"/>
  <c r="F31" i="1"/>
  <c r="F30" i="1"/>
  <c r="I20" i="1" s="1"/>
  <c r="I23" i="1" s="1"/>
  <c r="I24" i="1" s="1"/>
  <c r="I25" i="1" s="1"/>
  <c r="F57" i="1"/>
  <c r="F55" i="1"/>
  <c r="F53" i="1"/>
  <c r="F54" i="1" s="1"/>
  <c r="F58" i="1" s="1"/>
  <c r="F56" i="1"/>
  <c r="E61" i="1"/>
  <c r="E60" i="1"/>
  <c r="E4" i="1" l="1"/>
  <c r="I26" i="1"/>
  <c r="F61" i="1"/>
  <c r="I51" i="1"/>
  <c r="I52" i="1" s="1"/>
  <c r="F60" i="1"/>
  <c r="I50" i="1" s="1"/>
  <c r="I53" i="1" s="1"/>
  <c r="I54" i="1" s="1"/>
  <c r="I55" i="1" s="1"/>
  <c r="I36" i="1"/>
  <c r="I37" i="1" s="1"/>
  <c r="F45" i="1"/>
  <c r="F46" i="1"/>
  <c r="I35" i="1"/>
  <c r="I38" i="1" s="1"/>
  <c r="I39" i="1" s="1"/>
  <c r="I40" i="1" s="1"/>
  <c r="I27" i="1"/>
  <c r="I41" i="1" l="1"/>
  <c r="E3" i="1"/>
  <c r="E7" i="1" s="1"/>
  <c r="I42" i="1"/>
  <c r="E5" i="1"/>
  <c r="I56" i="1"/>
  <c r="I57" i="1"/>
</calcChain>
</file>

<file path=xl/sharedStrings.xml><?xml version="1.0" encoding="utf-8"?>
<sst xmlns="http://schemas.openxmlformats.org/spreadsheetml/2006/main" count="130" uniqueCount="64">
  <si>
    <t>Core Inputs</t>
  </si>
  <si>
    <t>Expected Share Price</t>
  </si>
  <si>
    <t>Metric</t>
  </si>
  <si>
    <t>Value</t>
  </si>
  <si>
    <t>Unit</t>
  </si>
  <si>
    <t>Scenario</t>
  </si>
  <si>
    <t>Implied Share Price</t>
  </si>
  <si>
    <t>Probability</t>
  </si>
  <si>
    <t>Revenue (TTM)</t>
  </si>
  <si>
    <t>$B</t>
  </si>
  <si>
    <t>Bear</t>
  </si>
  <si>
    <t>Cash &amp; Investments</t>
  </si>
  <si>
    <t xml:space="preserve">Base </t>
  </si>
  <si>
    <t>Debt</t>
  </si>
  <si>
    <t>Bull</t>
  </si>
  <si>
    <t>Shares Outstanding</t>
  </si>
  <si>
    <t>Current Share Price</t>
  </si>
  <si>
    <t>$/Share</t>
  </si>
  <si>
    <t>Expected Price</t>
  </si>
  <si>
    <t>Tax Rate</t>
  </si>
  <si>
    <t>%</t>
  </si>
  <si>
    <t>D&amp;A % Revenue</t>
  </si>
  <si>
    <t>NWC % Revenue Growth</t>
  </si>
  <si>
    <t>Scenario Assumptions</t>
  </si>
  <si>
    <t>2026E Revenue Growth</t>
  </si>
  <si>
    <t>2027E Revenue Growth</t>
  </si>
  <si>
    <t>2028E Revenue Growth</t>
  </si>
  <si>
    <t>2029E Revenue Growth</t>
  </si>
  <si>
    <t>2030E Revenue Growth</t>
  </si>
  <si>
    <t>2026E OM</t>
  </si>
  <si>
    <t>2027E OM</t>
  </si>
  <si>
    <t>2028E OM</t>
  </si>
  <si>
    <t>2029E OM</t>
  </si>
  <si>
    <t>2030E OM</t>
  </si>
  <si>
    <t>WACC</t>
  </si>
  <si>
    <t>CapEx</t>
  </si>
  <si>
    <t>TG</t>
  </si>
  <si>
    <t>Base Forecast</t>
  </si>
  <si>
    <t>2026E</t>
  </si>
  <si>
    <t>2027E</t>
  </si>
  <si>
    <t>2028E</t>
  </si>
  <si>
    <t>2029E</t>
  </si>
  <si>
    <t>2030E</t>
  </si>
  <si>
    <t>Valuation Output</t>
  </si>
  <si>
    <t>Revenue Growth</t>
  </si>
  <si>
    <t>PV Forecast UFCFs</t>
  </si>
  <si>
    <t>Operating Margin</t>
  </si>
  <si>
    <t>Terminal Value</t>
  </si>
  <si>
    <t>Revenue</t>
  </si>
  <si>
    <t>PV Terminal Value</t>
  </si>
  <si>
    <t>EBIT</t>
  </si>
  <si>
    <t>Enterprise Value</t>
  </si>
  <si>
    <t>NOPAT</t>
  </si>
  <si>
    <t>Equity Value</t>
  </si>
  <si>
    <t>D&amp;A</t>
  </si>
  <si>
    <t>Upside/Downside</t>
  </si>
  <si>
    <t>Change in NWC</t>
  </si>
  <si>
    <t>Terminal Value % of EV</t>
  </si>
  <si>
    <t>UFCF</t>
  </si>
  <si>
    <t>Discount Factor</t>
  </si>
  <si>
    <t>PV of UFCF</t>
  </si>
  <si>
    <t>FCF Margin</t>
  </si>
  <si>
    <t>Bear Forecast</t>
  </si>
  <si>
    <t>Bull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</si>
</sst>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0" fontId="0" fillId="0" borderId="0" xfId="0" applyNumberFormat="1"/>
    <xf numFmtId="2" fontId="0" fillId="0" borderId="0" xfId="0" applyNumberFormat="1"/>
    <xf numFmtId="9" fontId="0" fillId="0" borderId="0" xfId="0" applyNumberForma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79111-1E8A-4E48-8BB1-E7A8FD390E3D}">
  <dimension ref="A1:N61"/>
  <sheetViews>
    <sheetView tabSelected="1" topLeftCell="A39" zoomScale="72" workbookViewId="0">
      <selection activeCell="F10" sqref="F10"/>
    </sheetView>
  </sheetViews>
  <sheetFormatPr defaultRowHeight="14.45"/>
  <cols>
    <col min="1" max="1" width="19.5703125" customWidth="1"/>
    <col min="2" max="2" width="19.28515625" customWidth="1"/>
    <col min="3" max="3" width="22.42578125" customWidth="1"/>
    <col min="4" max="4" width="23.140625" customWidth="1"/>
    <col min="5" max="5" width="29.140625" customWidth="1"/>
    <col min="6" max="6" width="23.140625" customWidth="1"/>
    <col min="7" max="7" width="16.7109375" customWidth="1"/>
    <col min="8" max="8" width="20.5703125" customWidth="1"/>
    <col min="9" max="9" width="11.5703125" customWidth="1"/>
    <col min="10" max="10" width="11.140625" customWidth="1"/>
    <col min="11" max="11" width="12.28515625" customWidth="1"/>
  </cols>
  <sheetData>
    <row r="1" spans="1:14">
      <c r="A1" s="1" t="s">
        <v>0</v>
      </c>
      <c r="D1" s="1" t="s">
        <v>1</v>
      </c>
      <c r="J1" s="2"/>
      <c r="K1" s="2"/>
      <c r="L1" s="2"/>
    </row>
    <row r="2" spans="1:14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H2" s="2"/>
    </row>
    <row r="3" spans="1:14">
      <c r="A3" t="s">
        <v>8</v>
      </c>
      <c r="B3">
        <v>53.75</v>
      </c>
      <c r="C3" t="s">
        <v>9</v>
      </c>
      <c r="D3" t="s">
        <v>10</v>
      </c>
      <c r="E3" s="3">
        <f>I40</f>
        <v>11.22918747188651</v>
      </c>
      <c r="F3" s="4">
        <v>0.3</v>
      </c>
      <c r="H3" s="4"/>
    </row>
    <row r="4" spans="1:14">
      <c r="A4" t="s">
        <v>11</v>
      </c>
      <c r="B4">
        <v>28</v>
      </c>
      <c r="C4" t="s">
        <v>9</v>
      </c>
      <c r="D4" t="s">
        <v>12</v>
      </c>
      <c r="E4" s="3">
        <f>I25</f>
        <v>26.262846658968527</v>
      </c>
      <c r="F4" s="4">
        <v>0.5</v>
      </c>
      <c r="H4" s="4"/>
    </row>
    <row r="5" spans="1:14">
      <c r="A5" t="s">
        <v>13</v>
      </c>
      <c r="B5">
        <v>45</v>
      </c>
      <c r="C5" t="s">
        <v>9</v>
      </c>
      <c r="D5" t="s">
        <v>14</v>
      </c>
      <c r="E5" s="3">
        <f>I55</f>
        <v>70.345421424193916</v>
      </c>
      <c r="F5" s="4">
        <v>0.2</v>
      </c>
    </row>
    <row r="6" spans="1:14">
      <c r="A6" t="s">
        <v>15</v>
      </c>
      <c r="B6">
        <v>4.4000000000000004</v>
      </c>
      <c r="C6" t="s">
        <v>9</v>
      </c>
    </row>
    <row r="7" spans="1:14">
      <c r="A7" t="s">
        <v>16</v>
      </c>
      <c r="B7">
        <v>99.17</v>
      </c>
      <c r="C7" t="s">
        <v>17</v>
      </c>
      <c r="D7" t="s">
        <v>18</v>
      </c>
      <c r="E7" s="3">
        <f>(E3*F3)+(E4*F4)+(E5*F5)</f>
        <v>30.569263855889002</v>
      </c>
    </row>
    <row r="8" spans="1:14">
      <c r="A8" t="s">
        <v>19</v>
      </c>
      <c r="B8" s="4">
        <v>0.2</v>
      </c>
      <c r="C8" t="s">
        <v>20</v>
      </c>
    </row>
    <row r="9" spans="1:14">
      <c r="A9" t="s">
        <v>21</v>
      </c>
      <c r="B9" s="4">
        <v>0.12</v>
      </c>
      <c r="C9" t="s">
        <v>20</v>
      </c>
    </row>
    <row r="10" spans="1:14">
      <c r="A10" t="s">
        <v>22</v>
      </c>
      <c r="B10" s="4">
        <v>0.01</v>
      </c>
      <c r="C10" t="s">
        <v>20</v>
      </c>
    </row>
    <row r="12" spans="1:14">
      <c r="A12" s="1" t="s">
        <v>23</v>
      </c>
    </row>
    <row r="13" spans="1:14">
      <c r="A13" t="s">
        <v>5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 s="5" t="s">
        <v>29</v>
      </c>
      <c r="H13" s="5" t="s">
        <v>30</v>
      </c>
      <c r="I13" s="5" t="s">
        <v>31</v>
      </c>
      <c r="J13" s="5" t="s">
        <v>32</v>
      </c>
      <c r="K13" s="5" t="s">
        <v>33</v>
      </c>
      <c r="L13" s="5" t="s">
        <v>34</v>
      </c>
      <c r="M13" s="5" t="s">
        <v>35</v>
      </c>
      <c r="N13" s="5" t="s">
        <v>36</v>
      </c>
    </row>
    <row r="14" spans="1:14">
      <c r="A14" t="s">
        <v>10</v>
      </c>
      <c r="B14" s="2">
        <v>2.5000000000000001E-2</v>
      </c>
      <c r="C14" s="2">
        <v>2.5000000000000001E-2</v>
      </c>
      <c r="D14" s="4">
        <v>0.02</v>
      </c>
      <c r="E14" s="4">
        <v>0.02</v>
      </c>
      <c r="F14" s="4">
        <v>0.02</v>
      </c>
      <c r="G14" s="4">
        <v>-0.05</v>
      </c>
      <c r="H14" s="4">
        <v>0</v>
      </c>
      <c r="I14" s="4">
        <v>0.02</v>
      </c>
      <c r="J14" s="4">
        <v>0.05</v>
      </c>
      <c r="K14" s="4">
        <v>0.08</v>
      </c>
      <c r="L14" s="4">
        <v>0.1</v>
      </c>
      <c r="M14" s="4">
        <v>0.15</v>
      </c>
      <c r="N14" s="4">
        <v>0.02</v>
      </c>
    </row>
    <row r="15" spans="1:14">
      <c r="A15" t="s">
        <v>12</v>
      </c>
      <c r="B15" s="4">
        <v>0.05</v>
      </c>
      <c r="C15" s="4">
        <v>0.05</v>
      </c>
      <c r="D15" s="2">
        <v>4.4999999999999998E-2</v>
      </c>
      <c r="E15" s="4">
        <v>0.04</v>
      </c>
      <c r="F15" s="2">
        <v>3.5000000000000003E-2</v>
      </c>
      <c r="G15" s="4">
        <v>-0.02</v>
      </c>
      <c r="H15" s="4">
        <v>0.05</v>
      </c>
      <c r="I15" s="4">
        <v>0.1</v>
      </c>
      <c r="J15" s="4">
        <v>0.15</v>
      </c>
      <c r="K15" s="4">
        <v>0.2</v>
      </c>
      <c r="L15" s="2">
        <v>9.5000000000000001E-2</v>
      </c>
      <c r="M15" s="4">
        <v>0.12</v>
      </c>
      <c r="N15" s="2">
        <v>2.5000000000000001E-2</v>
      </c>
    </row>
    <row r="16" spans="1:14">
      <c r="A16" t="s">
        <v>14</v>
      </c>
      <c r="B16" s="4">
        <v>0.08</v>
      </c>
      <c r="C16" s="4">
        <v>0.08</v>
      </c>
      <c r="D16" s="4">
        <v>7.0000000000000007E-2</v>
      </c>
      <c r="E16" s="4">
        <v>0.06</v>
      </c>
      <c r="F16" s="4">
        <v>0.05</v>
      </c>
      <c r="G16" s="4">
        <v>0</v>
      </c>
      <c r="H16" s="4">
        <v>0.08</v>
      </c>
      <c r="I16" s="4">
        <v>0.14000000000000001</v>
      </c>
      <c r="J16" s="4">
        <v>0.2</v>
      </c>
      <c r="K16" s="4">
        <v>0.27</v>
      </c>
      <c r="L16" s="4">
        <v>0.09</v>
      </c>
      <c r="M16" s="4">
        <v>0.1</v>
      </c>
      <c r="N16" s="4">
        <v>0.03</v>
      </c>
    </row>
    <row r="18" spans="1:9">
      <c r="A18" s="1" t="s">
        <v>37</v>
      </c>
    </row>
    <row r="19" spans="1:9">
      <c r="A19" t="s">
        <v>2</v>
      </c>
      <c r="B19" t="s">
        <v>38</v>
      </c>
      <c r="C19" t="s">
        <v>39</v>
      </c>
      <c r="D19" t="s">
        <v>40</v>
      </c>
      <c r="E19" t="s">
        <v>41</v>
      </c>
      <c r="F19" t="s">
        <v>42</v>
      </c>
      <c r="H19" s="1" t="s">
        <v>43</v>
      </c>
    </row>
    <row r="20" spans="1:9">
      <c r="A20" t="s">
        <v>44</v>
      </c>
      <c r="B20" s="4">
        <f>B15</f>
        <v>0.05</v>
      </c>
      <c r="C20" s="4">
        <f t="shared" ref="C20:F20" si="0">C15</f>
        <v>0.05</v>
      </c>
      <c r="D20" s="4">
        <f t="shared" si="0"/>
        <v>4.4999999999999998E-2</v>
      </c>
      <c r="E20" s="4">
        <f t="shared" si="0"/>
        <v>0.04</v>
      </c>
      <c r="F20" s="4">
        <f t="shared" si="0"/>
        <v>3.5000000000000003E-2</v>
      </c>
      <c r="H20" t="s">
        <v>45</v>
      </c>
      <c r="I20" s="3">
        <f>SUM(B30:F30)</f>
        <v>9.6305798133677722</v>
      </c>
    </row>
    <row r="21" spans="1:9">
      <c r="A21" t="s">
        <v>46</v>
      </c>
      <c r="B21" s="4">
        <f>G15</f>
        <v>-0.02</v>
      </c>
      <c r="C21" s="4">
        <f t="shared" ref="C21:F21" si="1">H15</f>
        <v>0.05</v>
      </c>
      <c r="D21" s="4">
        <f t="shared" si="1"/>
        <v>0.1</v>
      </c>
      <c r="E21" s="4">
        <f t="shared" si="1"/>
        <v>0.15</v>
      </c>
      <c r="F21" s="4">
        <f t="shared" si="1"/>
        <v>0.2</v>
      </c>
      <c r="G21" s="2"/>
      <c r="H21" t="s">
        <v>47</v>
      </c>
      <c r="I21" s="3">
        <f>F28*(1+$N$15)/($L$15-$N$15)</f>
        <v>122.92594548609377</v>
      </c>
    </row>
    <row r="22" spans="1:9">
      <c r="A22" t="s">
        <v>48</v>
      </c>
      <c r="B22" s="3">
        <f>B3*(1+B20)</f>
        <v>56.4375</v>
      </c>
      <c r="C22" s="3">
        <f>B22*(1+C20)</f>
        <v>59.259375000000006</v>
      </c>
      <c r="D22" s="3">
        <f>C22*(1+D20)</f>
        <v>61.926046875000004</v>
      </c>
      <c r="E22" s="3">
        <f t="shared" ref="E22:G22" si="2">D22*(1+E20)</f>
        <v>64.403088750000009</v>
      </c>
      <c r="F22" s="3">
        <f t="shared" si="2"/>
        <v>66.65719685625001</v>
      </c>
      <c r="H22" t="s">
        <v>49</v>
      </c>
      <c r="I22" s="3">
        <f>I21*$F$29</f>
        <v>69.751482733410114</v>
      </c>
    </row>
    <row r="23" spans="1:9">
      <c r="A23" t="s">
        <v>50</v>
      </c>
      <c r="B23" s="3">
        <f>B22*B21</f>
        <v>-1.1287499999999999</v>
      </c>
      <c r="C23" s="3">
        <f>C22*C21</f>
        <v>2.9629687500000004</v>
      </c>
      <c r="D23" s="3">
        <f t="shared" ref="D23:F23" si="3">D22*D21</f>
        <v>6.1926046875000011</v>
      </c>
      <c r="E23" s="3">
        <f t="shared" si="3"/>
        <v>9.660463312500001</v>
      </c>
      <c r="F23" s="3">
        <f t="shared" si="3"/>
        <v>13.331439371250003</v>
      </c>
      <c r="H23" t="s">
        <v>51</v>
      </c>
      <c r="I23" s="3">
        <f>I20+I21</f>
        <v>132.55652529946153</v>
      </c>
    </row>
    <row r="24" spans="1:9">
      <c r="A24" t="s">
        <v>52</v>
      </c>
      <c r="B24" s="3">
        <f>B23*(1-$B$8)</f>
        <v>-0.90300000000000002</v>
      </c>
      <c r="C24" s="3">
        <f t="shared" ref="C24:F24" si="4">C23*(1-$B$8)</f>
        <v>2.3703750000000006</v>
      </c>
      <c r="D24" s="3">
        <f t="shared" si="4"/>
        <v>4.9540837500000015</v>
      </c>
      <c r="E24" s="3">
        <f t="shared" si="4"/>
        <v>7.7283706500000013</v>
      </c>
      <c r="F24" s="3">
        <f t="shared" si="4"/>
        <v>10.665151497000004</v>
      </c>
      <c r="H24" t="s">
        <v>53</v>
      </c>
      <c r="I24" s="3">
        <f>I23+$B$4-$B$5</f>
        <v>115.55652529946153</v>
      </c>
    </row>
    <row r="25" spans="1:9">
      <c r="A25" t="s">
        <v>54</v>
      </c>
      <c r="B25" s="3">
        <f>B22*$B$9</f>
        <v>6.7725</v>
      </c>
      <c r="C25" s="3">
        <f t="shared" ref="C25:F25" si="5">C22*$B$9</f>
        <v>7.1111250000000004</v>
      </c>
      <c r="D25" s="3">
        <f t="shared" si="5"/>
        <v>7.431125625</v>
      </c>
      <c r="E25" s="3">
        <f t="shared" si="5"/>
        <v>7.7283706500000005</v>
      </c>
      <c r="F25" s="3">
        <f t="shared" si="5"/>
        <v>7.998863622750001</v>
      </c>
      <c r="H25" t="s">
        <v>6</v>
      </c>
      <c r="I25" s="3">
        <f>I24/$B$6</f>
        <v>26.262846658968527</v>
      </c>
    </row>
    <row r="26" spans="1:9">
      <c r="A26" t="s">
        <v>35</v>
      </c>
      <c r="B26" s="3">
        <f>B22*M15</f>
        <v>6.7725</v>
      </c>
      <c r="C26" s="3">
        <f>C22*$M$14</f>
        <v>8.8889062499999998</v>
      </c>
      <c r="D26" s="3">
        <f t="shared" ref="D26:G26" si="6">D22*$M$14</f>
        <v>9.2889070312499999</v>
      </c>
      <c r="E26" s="3">
        <f t="shared" si="6"/>
        <v>9.660463312500001</v>
      </c>
      <c r="F26" s="3">
        <f t="shared" si="6"/>
        <v>9.9985795284375012</v>
      </c>
      <c r="H26" t="s">
        <v>55</v>
      </c>
      <c r="I26" s="2">
        <f>I25/B7 -1</f>
        <v>-0.73517347323819171</v>
      </c>
    </row>
    <row r="27" spans="1:9">
      <c r="A27" t="s">
        <v>56</v>
      </c>
      <c r="B27" s="3"/>
      <c r="C27" s="3">
        <f>(C22-B22)*$M$15</f>
        <v>0.33862500000000068</v>
      </c>
      <c r="D27" s="3">
        <f t="shared" ref="D27:F27" si="7">(D22-C22)*$M$15</f>
        <v>0.32000062499999982</v>
      </c>
      <c r="E27" s="3">
        <f t="shared" si="7"/>
        <v>0.29724502500000055</v>
      </c>
      <c r="F27" s="3">
        <f t="shared" si="7"/>
        <v>0.27049297275000012</v>
      </c>
      <c r="H27" t="s">
        <v>57</v>
      </c>
      <c r="I27" s="2">
        <f>I22/I23</f>
        <v>0.52620180391597415</v>
      </c>
    </row>
    <row r="28" spans="1:9">
      <c r="A28" t="s">
        <v>58</v>
      </c>
      <c r="B28" s="3">
        <f>B24+B25-B26-B27</f>
        <v>-0.90299999999999958</v>
      </c>
      <c r="C28" s="3">
        <f t="shared" ref="C28:F28" si="8">C24+C25-C26-C27</f>
        <v>0.25396875000000002</v>
      </c>
      <c r="D28" s="3">
        <f t="shared" si="8"/>
        <v>2.7763017187500028</v>
      </c>
      <c r="E28" s="3">
        <f t="shared" si="8"/>
        <v>5.4990329624999994</v>
      </c>
      <c r="F28" s="3">
        <f t="shared" si="8"/>
        <v>8.3949426185625029</v>
      </c>
    </row>
    <row r="29" spans="1:9">
      <c r="A29" t="s">
        <v>59</v>
      </c>
      <c r="B29" s="3">
        <f>1/(1+$M$15)^1</f>
        <v>0.89285714285714279</v>
      </c>
      <c r="C29" s="3">
        <f>1/(1+$M$15)^2</f>
        <v>0.79719387755102034</v>
      </c>
      <c r="D29" s="3">
        <f>1/(1+$M$15)^3</f>
        <v>0.71178024781341087</v>
      </c>
      <c r="E29" s="3">
        <f>1/(1+$M$15)^4</f>
        <v>0.63551807840483121</v>
      </c>
      <c r="F29" s="3">
        <f>1/(1+$M$15)^5</f>
        <v>0.56742685571859919</v>
      </c>
    </row>
    <row r="30" spans="1:9">
      <c r="A30" t="s">
        <v>60</v>
      </c>
      <c r="B30" s="3">
        <f>B28*B29</f>
        <v>-0.80624999999999958</v>
      </c>
      <c r="C30" s="3">
        <f t="shared" ref="C30:F30" si="9">C28*C29</f>
        <v>0.20246233258928573</v>
      </c>
      <c r="D30" s="3">
        <f t="shared" si="9"/>
        <v>1.9761167253766756</v>
      </c>
      <c r="E30" s="3">
        <f t="shared" si="9"/>
        <v>3.4947348614128257</v>
      </c>
      <c r="F30" s="3">
        <f t="shared" si="9"/>
        <v>4.763515893988985</v>
      </c>
    </row>
    <row r="31" spans="1:9">
      <c r="A31" t="s">
        <v>61</v>
      </c>
      <c r="B31" s="3">
        <f>B28/B22</f>
        <v>-1.5999999999999993E-2</v>
      </c>
      <c r="C31" s="3">
        <f t="shared" ref="C31:F31" si="10">C28/C22</f>
        <v>4.2857142857142859E-3</v>
      </c>
      <c r="D31" s="3">
        <f t="shared" si="10"/>
        <v>4.4832535885167508E-2</v>
      </c>
      <c r="E31" s="3">
        <f t="shared" si="10"/>
        <v>8.5384615384615364E-2</v>
      </c>
      <c r="F31" s="3">
        <f t="shared" si="10"/>
        <v>0.12594202898550727</v>
      </c>
    </row>
    <row r="33" spans="1:9">
      <c r="A33" s="1" t="s">
        <v>62</v>
      </c>
    </row>
    <row r="34" spans="1:9">
      <c r="A34" t="s">
        <v>2</v>
      </c>
      <c r="B34" t="s">
        <v>38</v>
      </c>
      <c r="C34" t="s">
        <v>39</v>
      </c>
      <c r="D34" t="s">
        <v>40</v>
      </c>
      <c r="E34" t="s">
        <v>41</v>
      </c>
      <c r="F34" t="s">
        <v>42</v>
      </c>
      <c r="H34" s="1" t="s">
        <v>43</v>
      </c>
    </row>
    <row r="35" spans="1:9">
      <c r="A35" t="s">
        <v>44</v>
      </c>
      <c r="B35" s="4">
        <f>B14</f>
        <v>2.5000000000000001E-2</v>
      </c>
      <c r="C35" s="4">
        <f t="shared" ref="C35:F35" si="11">C14</f>
        <v>2.5000000000000001E-2</v>
      </c>
      <c r="D35" s="4">
        <f t="shared" si="11"/>
        <v>0.02</v>
      </c>
      <c r="E35" s="4">
        <f t="shared" si="11"/>
        <v>0.02</v>
      </c>
      <c r="F35" s="4">
        <f t="shared" si="11"/>
        <v>0.02</v>
      </c>
      <c r="H35" t="s">
        <v>45</v>
      </c>
      <c r="I35" s="3">
        <f>SUM(B45:F45)</f>
        <v>-4.1790652433586875</v>
      </c>
    </row>
    <row r="36" spans="1:9">
      <c r="A36" t="s">
        <v>46</v>
      </c>
      <c r="B36" s="4">
        <f>G14</f>
        <v>-0.05</v>
      </c>
      <c r="C36" s="4">
        <f t="shared" ref="C36:F36" si="12">H14</f>
        <v>0</v>
      </c>
      <c r="D36" s="4">
        <f t="shared" si="12"/>
        <v>0.02</v>
      </c>
      <c r="E36" s="4">
        <f t="shared" si="12"/>
        <v>0.05</v>
      </c>
      <c r="F36" s="4">
        <f t="shared" si="12"/>
        <v>0.08</v>
      </c>
      <c r="G36" s="2"/>
      <c r="H36" t="s">
        <v>47</v>
      </c>
      <c r="I36" s="3">
        <f>F43*(1+N15)/(L15-N15)</f>
        <v>27.770640367058039</v>
      </c>
    </row>
    <row r="37" spans="1:9">
      <c r="A37" t="s">
        <v>48</v>
      </c>
      <c r="B37" s="3">
        <f>B3*(1+B35)</f>
        <v>55.093749999999993</v>
      </c>
      <c r="C37" s="3">
        <f>B37*(1+C35)</f>
        <v>56.471093749999987</v>
      </c>
      <c r="D37" s="3">
        <f>C37*(1+D35)</f>
        <v>57.600515624999986</v>
      </c>
      <c r="E37" s="3">
        <f t="shared" ref="E37:G37" si="13">D37*(1+E35)</f>
        <v>58.752525937499989</v>
      </c>
      <c r="F37" s="3">
        <f t="shared" si="13"/>
        <v>59.927576456249987</v>
      </c>
      <c r="H37" t="s">
        <v>49</v>
      </c>
      <c r="I37" s="3">
        <f>I36*F44</f>
        <v>13.806916314836819</v>
      </c>
    </row>
    <row r="38" spans="1:9">
      <c r="A38" t="s">
        <v>50</v>
      </c>
      <c r="B38" s="3">
        <f>B37*B36</f>
        <v>-2.7546874999999997</v>
      </c>
      <c r="C38" s="3">
        <f>C37*C36</f>
        <v>0</v>
      </c>
      <c r="D38" s="3">
        <f t="shared" ref="D38:F38" si="14">D37*D36</f>
        <v>1.1520103124999996</v>
      </c>
      <c r="E38" s="3">
        <f t="shared" si="14"/>
        <v>2.9376262968749995</v>
      </c>
      <c r="F38" s="3">
        <f t="shared" si="14"/>
        <v>4.7942061164999989</v>
      </c>
      <c r="H38" t="s">
        <v>51</v>
      </c>
      <c r="I38" s="3">
        <f>I35+I36</f>
        <v>23.59157512369935</v>
      </c>
    </row>
    <row r="39" spans="1:9">
      <c r="A39" t="s">
        <v>52</v>
      </c>
      <c r="B39" s="3">
        <f>B38*(1-$B$8)</f>
        <v>-2.2037499999999999</v>
      </c>
      <c r="C39" s="3">
        <f t="shared" ref="C39:F39" si="15">C38*(1-$B$8)</f>
        <v>0</v>
      </c>
      <c r="D39" s="3">
        <f t="shared" si="15"/>
        <v>0.9216082499999998</v>
      </c>
      <c r="E39" s="3">
        <f t="shared" si="15"/>
        <v>2.3501010374999995</v>
      </c>
      <c r="F39" s="3">
        <f t="shared" si="15"/>
        <v>3.8353648931999995</v>
      </c>
      <c r="H39" t="s">
        <v>53</v>
      </c>
      <c r="I39" s="3">
        <f>B5+B4-I38</f>
        <v>49.40842487630065</v>
      </c>
    </row>
    <row r="40" spans="1:9">
      <c r="A40" t="s">
        <v>54</v>
      </c>
      <c r="B40" s="3">
        <f>B37*$B$9</f>
        <v>6.6112499999999992</v>
      </c>
      <c r="C40" s="3">
        <f t="shared" ref="C40:F40" si="16">C37*$B$9</f>
        <v>6.7765312499999979</v>
      </c>
      <c r="D40" s="3">
        <f t="shared" si="16"/>
        <v>6.9120618749999982</v>
      </c>
      <c r="E40" s="3">
        <f t="shared" si="16"/>
        <v>7.0503031124999982</v>
      </c>
      <c r="F40" s="3">
        <f t="shared" si="16"/>
        <v>7.191309174749998</v>
      </c>
      <c r="H40" t="s">
        <v>6</v>
      </c>
      <c r="I40" s="3">
        <f>I39/B6</f>
        <v>11.22918747188651</v>
      </c>
    </row>
    <row r="41" spans="1:9">
      <c r="A41" t="s">
        <v>35</v>
      </c>
      <c r="B41" s="3">
        <f>B37*$M$14</f>
        <v>8.2640624999999979</v>
      </c>
      <c r="C41" s="3">
        <f t="shared" ref="C41:F41" si="17">C37*$M$14</f>
        <v>8.4706640624999974</v>
      </c>
      <c r="D41" s="3">
        <f t="shared" si="17"/>
        <v>8.6400773437499971</v>
      </c>
      <c r="E41" s="3">
        <f t="shared" si="17"/>
        <v>8.8128788906249973</v>
      </c>
      <c r="F41" s="3">
        <f t="shared" si="17"/>
        <v>8.989136468437497</v>
      </c>
      <c r="H41" t="s">
        <v>55</v>
      </c>
      <c r="I41" s="2">
        <f>I40/B22-1</f>
        <v>-0.80103322308949709</v>
      </c>
    </row>
    <row r="42" spans="1:9">
      <c r="A42" t="s">
        <v>56</v>
      </c>
      <c r="B42" s="3"/>
      <c r="C42" s="3">
        <f>(C37-B37)*$M$15</f>
        <v>0.16528124999999932</v>
      </c>
      <c r="D42" s="3">
        <f t="shared" ref="D42:F42" si="18">(D37-C37)*$M$15</f>
        <v>0.13553062499999982</v>
      </c>
      <c r="E42" s="3">
        <f t="shared" si="18"/>
        <v>0.13824123750000039</v>
      </c>
      <c r="F42" s="3">
        <f t="shared" si="18"/>
        <v>0.14100606224999979</v>
      </c>
      <c r="H42" t="s">
        <v>57</v>
      </c>
      <c r="I42" s="2">
        <f>I37/I38</f>
        <v>0.58524775232014192</v>
      </c>
    </row>
    <row r="43" spans="1:9">
      <c r="A43" t="s">
        <v>58</v>
      </c>
      <c r="B43" s="3">
        <f>B39+B40-B41-B42</f>
        <v>-3.856562499999999</v>
      </c>
      <c r="C43" s="3">
        <f t="shared" ref="C43:F43" si="19">C39+C40-C41-C42</f>
        <v>-1.8594140624999989</v>
      </c>
      <c r="D43" s="3">
        <f t="shared" si="19"/>
        <v>-0.94193784374999934</v>
      </c>
      <c r="E43" s="3">
        <f t="shared" si="19"/>
        <v>0.44928402187500049</v>
      </c>
      <c r="F43" s="3">
        <f t="shared" si="19"/>
        <v>1.8965315372625007</v>
      </c>
    </row>
    <row r="44" spans="1:9">
      <c r="A44" t="s">
        <v>59</v>
      </c>
      <c r="B44" s="3">
        <f>1/(1+$M$14)^1</f>
        <v>0.86956521739130443</v>
      </c>
      <c r="C44" s="3">
        <f>1/(1+$M$14)^2</f>
        <v>0.7561436672967865</v>
      </c>
      <c r="D44" s="3">
        <f>1/(1+$M$14)^3</f>
        <v>0.65751623243198831</v>
      </c>
      <c r="E44" s="3">
        <f>1/(1+$M$14)^4</f>
        <v>0.57175324559303342</v>
      </c>
      <c r="F44" s="3">
        <f>1/(1+$M$14)^5</f>
        <v>0.49717673529828987</v>
      </c>
    </row>
    <row r="45" spans="1:9">
      <c r="A45" t="s">
        <v>60</v>
      </c>
      <c r="B45" s="3">
        <f>B43*B44</f>
        <v>-3.3535326086956516</v>
      </c>
      <c r="C45" s="3">
        <f t="shared" ref="C45:F45" si="20">C43*C44</f>
        <v>-1.4059841682419654</v>
      </c>
      <c r="D45" s="3">
        <f t="shared" si="20"/>
        <v>-0.6193394222076104</v>
      </c>
      <c r="E45" s="3">
        <f t="shared" si="20"/>
        <v>0.25687959770012297</v>
      </c>
      <c r="F45" s="3">
        <f t="shared" si="20"/>
        <v>0.94291135808641713</v>
      </c>
    </row>
    <row r="46" spans="1:9">
      <c r="A46" t="s">
        <v>61</v>
      </c>
      <c r="B46" s="3">
        <f>B43/B37</f>
        <v>-6.9999999999999993E-2</v>
      </c>
      <c r="C46" s="3">
        <f t="shared" ref="C46:F46" si="21">C43/C37</f>
        <v>-3.2926829268292671E-2</v>
      </c>
      <c r="D46" s="3">
        <f t="shared" si="21"/>
        <v>-1.6352941176470581E-2</v>
      </c>
      <c r="E46" s="3">
        <f t="shared" si="21"/>
        <v>7.6470588235294217E-3</v>
      </c>
      <c r="F46" s="3">
        <f t="shared" si="21"/>
        <v>3.1647058823529431E-2</v>
      </c>
    </row>
    <row r="48" spans="1:9">
      <c r="A48" s="1" t="s">
        <v>63</v>
      </c>
    </row>
    <row r="49" spans="1:9">
      <c r="A49" t="s">
        <v>2</v>
      </c>
      <c r="B49" t="s">
        <v>38</v>
      </c>
      <c r="C49" t="s">
        <v>39</v>
      </c>
      <c r="D49" t="s">
        <v>40</v>
      </c>
      <c r="E49" t="s">
        <v>41</v>
      </c>
      <c r="F49" t="s">
        <v>42</v>
      </c>
      <c r="H49" s="1" t="s">
        <v>43</v>
      </c>
    </row>
    <row r="50" spans="1:9">
      <c r="A50" t="s">
        <v>44</v>
      </c>
      <c r="B50" s="4">
        <f>B16</f>
        <v>0.08</v>
      </c>
      <c r="C50" s="4">
        <f t="shared" ref="C50:F50" si="22">C16</f>
        <v>0.08</v>
      </c>
      <c r="D50" s="4">
        <f t="shared" si="22"/>
        <v>7.0000000000000007E-2</v>
      </c>
      <c r="E50" s="4">
        <f t="shared" si="22"/>
        <v>0.06</v>
      </c>
      <c r="F50" s="4">
        <f t="shared" si="22"/>
        <v>0.05</v>
      </c>
      <c r="H50" t="s">
        <v>45</v>
      </c>
      <c r="I50" s="3">
        <f>SUM(B60:F60)</f>
        <v>31.359588065133146</v>
      </c>
    </row>
    <row r="51" spans="1:9">
      <c r="A51" t="s">
        <v>46</v>
      </c>
      <c r="B51" s="4">
        <f>G16</f>
        <v>0</v>
      </c>
      <c r="C51" s="4">
        <f t="shared" ref="C51:F51" si="23">H16</f>
        <v>0.08</v>
      </c>
      <c r="D51" s="4">
        <f t="shared" si="23"/>
        <v>0.14000000000000001</v>
      </c>
      <c r="E51" s="4">
        <f t="shared" si="23"/>
        <v>0.2</v>
      </c>
      <c r="F51" s="4">
        <f t="shared" si="23"/>
        <v>0.27</v>
      </c>
      <c r="G51" s="2"/>
      <c r="H51" t="s">
        <v>47</v>
      </c>
      <c r="I51" s="3">
        <f>F58*(1+N16)/(L16-N16)</f>
        <v>295.1602662013201</v>
      </c>
    </row>
    <row r="52" spans="1:9">
      <c r="A52" t="s">
        <v>48</v>
      </c>
      <c r="B52" s="3">
        <f>B3*(1+B50)</f>
        <v>58.050000000000004</v>
      </c>
      <c r="C52" s="3">
        <f>B52*(1+C50)</f>
        <v>62.69400000000001</v>
      </c>
      <c r="D52" s="3">
        <f>C52*(1+D50)</f>
        <v>67.082580000000007</v>
      </c>
      <c r="E52" s="3">
        <f t="shared" ref="E52:G52" si="24">D52*(1+E50)</f>
        <v>71.10753480000001</v>
      </c>
      <c r="F52" s="3">
        <f t="shared" si="24"/>
        <v>74.66291154000001</v>
      </c>
      <c r="H52" t="s">
        <v>49</v>
      </c>
      <c r="I52" s="3">
        <f>I51*F59</f>
        <v>191.83392099241257</v>
      </c>
    </row>
    <row r="53" spans="1:9">
      <c r="A53" t="s">
        <v>50</v>
      </c>
      <c r="B53" s="3">
        <f>B52*B51</f>
        <v>0</v>
      </c>
      <c r="C53" s="3">
        <f>C52*C51</f>
        <v>5.0155200000000013</v>
      </c>
      <c r="D53" s="3">
        <f t="shared" ref="D53:F53" si="25">D52*D51</f>
        <v>9.3915612000000017</v>
      </c>
      <c r="E53" s="3">
        <f t="shared" si="25"/>
        <v>14.221506960000003</v>
      </c>
      <c r="F53" s="3">
        <f t="shared" si="25"/>
        <v>20.158986115800005</v>
      </c>
      <c r="H53" t="s">
        <v>51</v>
      </c>
      <c r="I53" s="3">
        <f>I50+I51</f>
        <v>326.51985426645325</v>
      </c>
    </row>
    <row r="54" spans="1:9">
      <c r="A54" t="s">
        <v>52</v>
      </c>
      <c r="B54" s="3">
        <f>B53*(1-$B$8)</f>
        <v>0</v>
      </c>
      <c r="C54" s="3">
        <f t="shared" ref="C54:F54" si="26">C53*(1-$B$8)</f>
        <v>4.0124160000000009</v>
      </c>
      <c r="D54" s="3">
        <f t="shared" si="26"/>
        <v>7.5132489600000021</v>
      </c>
      <c r="E54" s="3">
        <f t="shared" si="26"/>
        <v>11.377205568000003</v>
      </c>
      <c r="F54" s="3">
        <f t="shared" si="26"/>
        <v>16.127188892640003</v>
      </c>
      <c r="H54" t="s">
        <v>53</v>
      </c>
      <c r="I54" s="3">
        <f>I53+$B$4-$B$5</f>
        <v>309.51985426645325</v>
      </c>
    </row>
    <row r="55" spans="1:9">
      <c r="A55" t="s">
        <v>54</v>
      </c>
      <c r="B55" s="3">
        <f>B52*$B$9</f>
        <v>6.9660000000000002</v>
      </c>
      <c r="C55" s="3">
        <f t="shared" ref="C55:F55" si="27">C52*$B$9</f>
        <v>7.5232800000000006</v>
      </c>
      <c r="D55" s="3">
        <f t="shared" si="27"/>
        <v>8.0499096000000012</v>
      </c>
      <c r="E55" s="3">
        <f t="shared" si="27"/>
        <v>8.5329041760000006</v>
      </c>
      <c r="F55" s="3">
        <f t="shared" si="27"/>
        <v>8.9595493848000007</v>
      </c>
      <c r="H55" t="s">
        <v>6</v>
      </c>
      <c r="I55" s="3">
        <f>I54/$B$6</f>
        <v>70.345421424193916</v>
      </c>
    </row>
    <row r="56" spans="1:9">
      <c r="A56" t="s">
        <v>35</v>
      </c>
      <c r="B56" s="3">
        <f>B52*$M$16</f>
        <v>5.8050000000000006</v>
      </c>
      <c r="C56" s="3">
        <f t="shared" ref="C56:F56" si="28">C52*$M$16</f>
        <v>6.269400000000001</v>
      </c>
      <c r="D56" s="3">
        <f t="shared" si="28"/>
        <v>6.7082580000000007</v>
      </c>
      <c r="E56" s="3">
        <f t="shared" si="28"/>
        <v>7.1107534800000014</v>
      </c>
      <c r="F56" s="3">
        <f>F52*$M$16</f>
        <v>7.4662911540000012</v>
      </c>
      <c r="H56" t="s">
        <v>55</v>
      </c>
      <c r="I56" s="2">
        <f>I55/B7 -1</f>
        <v>-0.29065824922664196</v>
      </c>
    </row>
    <row r="57" spans="1:9">
      <c r="A57" t="s">
        <v>56</v>
      </c>
      <c r="B57" s="3"/>
      <c r="C57" s="3">
        <f>(C52-B52)*$M$15</f>
        <v>0.55728000000000066</v>
      </c>
      <c r="D57" s="3">
        <f t="shared" ref="D57:F57" si="29">(D52-C52)*$M$15</f>
        <v>0.5266295999999997</v>
      </c>
      <c r="E57" s="3">
        <f t="shared" si="29"/>
        <v>0.4829945760000004</v>
      </c>
      <c r="F57" s="3">
        <f t="shared" si="29"/>
        <v>0.42664520879999995</v>
      </c>
      <c r="H57" t="s">
        <v>57</v>
      </c>
      <c r="I57" s="2">
        <f>I52/I53</f>
        <v>0.58751073934961529</v>
      </c>
    </row>
    <row r="58" spans="1:9">
      <c r="A58" t="s">
        <v>58</v>
      </c>
      <c r="B58" s="3">
        <f>B54+B55-B56-B57</f>
        <v>1.1609999999999996</v>
      </c>
      <c r="C58" s="3">
        <f t="shared" ref="C58" si="30">C54+C55-C56-C57</f>
        <v>4.7090160000000001</v>
      </c>
      <c r="D58" s="3">
        <f>D54+D55-D56-D57</f>
        <v>8.3282709600000029</v>
      </c>
      <c r="E58" s="3">
        <f t="shared" ref="E58:F58" si="31">E54+E55-E56-E57</f>
        <v>12.316361688000001</v>
      </c>
      <c r="F58" s="3">
        <f t="shared" si="31"/>
        <v>17.193801914640005</v>
      </c>
    </row>
    <row r="59" spans="1:9">
      <c r="A59" t="s">
        <v>59</v>
      </c>
      <c r="B59" s="3">
        <f>1/(1+$L$16)^1</f>
        <v>0.9174311926605504</v>
      </c>
      <c r="C59" s="3">
        <f>1/(1+$L$16)^2</f>
        <v>0.84167999326655996</v>
      </c>
      <c r="D59" s="3">
        <f>1/(1+$L$16)^3</f>
        <v>0.77218348006106419</v>
      </c>
      <c r="E59" s="3">
        <f>1/(1+$L$16)^4</f>
        <v>0.7084252110651964</v>
      </c>
      <c r="F59" s="3">
        <f>1/(1+$L$16)^5</f>
        <v>0.64993138629834524</v>
      </c>
    </row>
    <row r="60" spans="1:9">
      <c r="A60" t="s">
        <v>60</v>
      </c>
      <c r="B60" s="3">
        <f>B58*B59</f>
        <v>1.0651376146788987</v>
      </c>
      <c r="C60" s="3">
        <f>C58*C59</f>
        <v>3.9634845551721232</v>
      </c>
      <c r="D60" s="3">
        <f t="shared" ref="D60:F60" si="32">D58*D59</f>
        <v>6.4309532527843025</v>
      </c>
      <c r="E60" s="3">
        <f t="shared" si="32"/>
        <v>8.7252211283766989</v>
      </c>
      <c r="F60" s="3">
        <f t="shared" si="32"/>
        <v>11.174791514121122</v>
      </c>
    </row>
    <row r="61" spans="1:9">
      <c r="A61" t="s">
        <v>61</v>
      </c>
      <c r="B61" s="3">
        <f>B58/B52</f>
        <v>1.999999999999999E-2</v>
      </c>
      <c r="C61" s="3">
        <f t="shared" ref="C61:F61" si="33">C58/C52</f>
        <v>7.5111111111111101E-2</v>
      </c>
      <c r="D61" s="3">
        <f t="shared" si="33"/>
        <v>0.1241495327102804</v>
      </c>
      <c r="E61" s="3">
        <f t="shared" si="33"/>
        <v>0.17320754716981129</v>
      </c>
      <c r="F61" s="3">
        <f t="shared" si="33"/>
        <v>0.23028571428571432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1d2a30f-c090-42d2-a1fe-38dddbdd732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76B7633C134545BF23BF4EF4777B47" ma:contentTypeVersion="8" ma:contentTypeDescription="Create a new document." ma:contentTypeScope="" ma:versionID="60d00ca9054a302668a219d8df7f159d">
  <xsd:schema xmlns:xsd="http://www.w3.org/2001/XMLSchema" xmlns:xs="http://www.w3.org/2001/XMLSchema" xmlns:p="http://schemas.microsoft.com/office/2006/metadata/properties" xmlns:ns3="a1d2a30f-c090-42d2-a1fe-38dddbdd732d" targetNamespace="http://schemas.microsoft.com/office/2006/metadata/properties" ma:root="true" ma:fieldsID="c3c9710ed575b7fcda6f313503b7ff0a" ns3:_="">
    <xsd:import namespace="a1d2a30f-c090-42d2-a1fe-38dddbdd732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d2a30f-c090-42d2-a1fe-38dddbdd73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C3BC08-1EB0-4913-8E71-4E19F7F4349F}"/>
</file>

<file path=customXml/itemProps2.xml><?xml version="1.0" encoding="utf-8"?>
<ds:datastoreItem xmlns:ds="http://schemas.openxmlformats.org/officeDocument/2006/customXml" ds:itemID="{2A1289A2-F489-4B6A-A431-1986971CEA08}"/>
</file>

<file path=customXml/itemProps3.xml><?xml version="1.0" encoding="utf-8"?>
<ds:datastoreItem xmlns:ds="http://schemas.openxmlformats.org/officeDocument/2006/customXml" ds:itemID="{9AA5D01C-E34A-49EB-BEC3-F9BAF3BC40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Gavin Connolly</dc:creator>
  <cp:keywords/>
  <dc:description/>
  <cp:lastModifiedBy/>
  <cp:revision/>
  <dcterms:created xsi:type="dcterms:W3CDTF">2026-06-08T01:44:58Z</dcterms:created>
  <dcterms:modified xsi:type="dcterms:W3CDTF">2026-06-08T01:56:40Z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0x010100E076B7633C134545BF23BF4EF4777B47</vt:lpwstr>
  </property>
</Properties>
</file>